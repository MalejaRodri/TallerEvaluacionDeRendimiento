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lej\Downloads\Excel\"/>
    </mc:Choice>
  </mc:AlternateContent>
  <xr:revisionPtr revIDLastSave="0" documentId="13_ncr:1_{80E9E073-4565-4BE6-A438-3A0D3FA50F32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Información completa" sheetId="1" r:id="rId1"/>
    <sheet name="Gráficas SpeedUp" sheetId="2" r:id="rId2"/>
    <sheet name="Gráficas Tiempo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9" i="3" l="1" a="1"/>
  <c r="J119" i="3" s="1"/>
  <c r="J81" i="3"/>
  <c r="I81" i="3"/>
  <c r="D81" i="3" a="1"/>
  <c r="H81" i="3" s="1"/>
  <c r="D81" i="3"/>
  <c r="D43" i="3" a="1"/>
  <c r="H43" i="3" s="1"/>
  <c r="D43" i="3"/>
  <c r="D5" i="3" a="1"/>
  <c r="J5" i="3" s="1"/>
  <c r="D5" i="3"/>
  <c r="D223" i="2"/>
  <c r="F217" i="2"/>
  <c r="E217" i="2"/>
  <c r="D217" i="2"/>
  <c r="I216" i="2"/>
  <c r="M213" i="2"/>
  <c r="F155" i="2"/>
  <c r="I149" i="2"/>
  <c r="H149" i="2"/>
  <c r="G149" i="2"/>
  <c r="F149" i="2"/>
  <c r="M145" i="2"/>
  <c r="G84" i="2"/>
  <c r="F84" i="2"/>
  <c r="E84" i="2"/>
  <c r="D84" i="2"/>
  <c r="G83" i="2"/>
  <c r="E78" i="2"/>
  <c r="D78" i="2"/>
  <c r="M77" i="2"/>
  <c r="I19" i="2"/>
  <c r="H19" i="2"/>
  <c r="G19" i="2"/>
  <c r="H16" i="2"/>
  <c r="G16" i="2"/>
  <c r="I13" i="2"/>
  <c r="M9" i="2"/>
  <c r="AH143" i="1" a="1"/>
  <c r="AH143" i="1" s="1"/>
  <c r="I223" i="2" s="1"/>
  <c r="I222" i="2" s="1"/>
  <c r="AG143" i="1" a="1"/>
  <c r="AG143" i="1" s="1"/>
  <c r="H223" i="2" s="1"/>
  <c r="H222" i="2" s="1"/>
  <c r="AF143" i="1" a="1"/>
  <c r="AF143" i="1" s="1"/>
  <c r="G223" i="2" s="1"/>
  <c r="G222" i="2" s="1"/>
  <c r="AE143" i="1" a="1"/>
  <c r="AE143" i="1" s="1"/>
  <c r="F223" i="2" s="1"/>
  <c r="F222" i="2" s="1"/>
  <c r="AD143" i="1" a="1"/>
  <c r="AD143" i="1" s="1"/>
  <c r="E223" i="2" s="1"/>
  <c r="AC143" i="1" a="1"/>
  <c r="AC143" i="1"/>
  <c r="Z143" i="1" a="1"/>
  <c r="Z143" i="1"/>
  <c r="I220" i="2" s="1"/>
  <c r="Y143" i="1" a="1"/>
  <c r="Y143" i="1"/>
  <c r="H220" i="2" s="1"/>
  <c r="X143" i="1" a="1"/>
  <c r="X143" i="1"/>
  <c r="G220" i="2" s="1"/>
  <c r="W143" i="1" a="1"/>
  <c r="W143" i="1"/>
  <c r="F220" i="2" s="1"/>
  <c r="V143" i="1" a="1"/>
  <c r="V143" i="1" s="1"/>
  <c r="E220" i="2" s="1"/>
  <c r="E85" i="3" s="1" a="1"/>
  <c r="U143" i="1" a="1"/>
  <c r="U143" i="1"/>
  <c r="D220" i="2" s="1"/>
  <c r="R143" i="1" a="1"/>
  <c r="R143" i="1"/>
  <c r="I217" i="2" s="1"/>
  <c r="Q143" i="1" a="1"/>
  <c r="Q143" i="1" s="1"/>
  <c r="H217" i="2" s="1"/>
  <c r="P143" i="1" a="1"/>
  <c r="P143" i="1" s="1"/>
  <c r="G217" i="2" s="1"/>
  <c r="O143" i="1" a="1"/>
  <c r="O143" i="1" s="1"/>
  <c r="N143" i="1" a="1"/>
  <c r="N143" i="1"/>
  <c r="M143" i="1" a="1"/>
  <c r="M143" i="1"/>
  <c r="J143" i="1" a="1"/>
  <c r="J143" i="1"/>
  <c r="I214" i="2" s="1"/>
  <c r="I143" i="1" a="1"/>
  <c r="I143" i="1"/>
  <c r="H214" i="2" s="1"/>
  <c r="H143" i="1" a="1"/>
  <c r="H143" i="1" s="1"/>
  <c r="G214" i="2" s="1"/>
  <c r="G143" i="1" a="1"/>
  <c r="G143" i="1" s="1"/>
  <c r="F214" i="2" s="1"/>
  <c r="F143" i="1" a="1"/>
  <c r="F143" i="1" s="1"/>
  <c r="E214" i="2" s="1"/>
  <c r="E143" i="1" a="1"/>
  <c r="E143" i="1"/>
  <c r="D214" i="2" s="1"/>
  <c r="H213" i="2" s="1"/>
  <c r="AH107" i="1" a="1"/>
  <c r="AH107" i="1"/>
  <c r="I155" i="2" s="1"/>
  <c r="AG107" i="1" a="1"/>
  <c r="AG107" i="1" s="1"/>
  <c r="H155" i="2" s="1"/>
  <c r="AF107" i="1" a="1"/>
  <c r="AF107" i="1" s="1"/>
  <c r="G155" i="2" s="1"/>
  <c r="AE107" i="1" a="1"/>
  <c r="AE107" i="1"/>
  <c r="AD107" i="1" a="1"/>
  <c r="AD107" i="1"/>
  <c r="E155" i="2" s="1"/>
  <c r="AC107" i="1" a="1"/>
  <c r="AC107" i="1"/>
  <c r="D155" i="2" s="1"/>
  <c r="Z107" i="1" a="1"/>
  <c r="Z107" i="1" s="1"/>
  <c r="I152" i="2" s="1"/>
  <c r="Y107" i="1" a="1"/>
  <c r="Y107" i="1"/>
  <c r="H152" i="2" s="1"/>
  <c r="H151" i="2" s="1"/>
  <c r="X107" i="1" a="1"/>
  <c r="X107" i="1" s="1"/>
  <c r="G152" i="2" s="1"/>
  <c r="G151" i="2" s="1"/>
  <c r="W107" i="1" a="1"/>
  <c r="W107" i="1" s="1"/>
  <c r="F152" i="2" s="1"/>
  <c r="F151" i="2" s="1"/>
  <c r="V107" i="1" a="1"/>
  <c r="V107" i="1" s="1"/>
  <c r="E152" i="2" s="1"/>
  <c r="E151" i="2" s="1"/>
  <c r="U107" i="1" a="1"/>
  <c r="U107" i="1"/>
  <c r="D152" i="2" s="1"/>
  <c r="R107" i="1" a="1"/>
  <c r="R107" i="1"/>
  <c r="Q107" i="1" a="1"/>
  <c r="Q107" i="1" s="1"/>
  <c r="P107" i="1" a="1"/>
  <c r="P107" i="1"/>
  <c r="O107" i="1" a="1"/>
  <c r="O107" i="1"/>
  <c r="N107" i="1" a="1"/>
  <c r="N107" i="1"/>
  <c r="E149" i="2" s="1"/>
  <c r="M107" i="1" a="1"/>
  <c r="M107" i="1"/>
  <c r="D149" i="2" s="1"/>
  <c r="E46" i="3" s="1" a="1"/>
  <c r="J107" i="1" a="1"/>
  <c r="J107" i="1" s="1"/>
  <c r="I146" i="2" s="1"/>
  <c r="I107" i="1" a="1"/>
  <c r="I107" i="1" s="1"/>
  <c r="H146" i="2" s="1"/>
  <c r="H107" i="1" a="1"/>
  <c r="H107" i="1" s="1"/>
  <c r="G146" i="2" s="1"/>
  <c r="G107" i="1" a="1"/>
  <c r="G107" i="1" s="1"/>
  <c r="F146" i="2" s="1"/>
  <c r="F107" i="1" a="1"/>
  <c r="F107" i="1" s="1"/>
  <c r="E146" i="2" s="1"/>
  <c r="E107" i="1" a="1"/>
  <c r="E107" i="1" s="1"/>
  <c r="D146" i="2" s="1"/>
  <c r="AH71" i="1" a="1"/>
  <c r="AH71" i="1" s="1"/>
  <c r="I87" i="2" s="1"/>
  <c r="AG71" i="1" a="1"/>
  <c r="AG71" i="1"/>
  <c r="H87" i="2" s="1"/>
  <c r="AF71" i="1" a="1"/>
  <c r="AF71" i="1"/>
  <c r="G87" i="2" s="1"/>
  <c r="AE71" i="1" a="1"/>
  <c r="AE71" i="1"/>
  <c r="F87" i="2" s="1"/>
  <c r="AD71" i="1" a="1"/>
  <c r="AD71" i="1"/>
  <c r="E87" i="2" s="1"/>
  <c r="AC71" i="1" a="1"/>
  <c r="AC71" i="1"/>
  <c r="D87" i="2" s="1"/>
  <c r="E86" i="2" s="1"/>
  <c r="Z71" i="1" a="1"/>
  <c r="Z71" i="1"/>
  <c r="I84" i="2" s="1"/>
  <c r="I83" i="2" s="1"/>
  <c r="Y71" i="1" a="1"/>
  <c r="Y71" i="1" s="1"/>
  <c r="H84" i="2" s="1"/>
  <c r="H83" i="2" s="1"/>
  <c r="X71" i="1" a="1"/>
  <c r="X71" i="1"/>
  <c r="W71" i="1" a="1"/>
  <c r="W71" i="1"/>
  <c r="V71" i="1" a="1"/>
  <c r="V71" i="1"/>
  <c r="U71" i="1" a="1"/>
  <c r="U71" i="1" s="1"/>
  <c r="R71" i="1" a="1"/>
  <c r="R71" i="1"/>
  <c r="I81" i="2" s="1"/>
  <c r="Q71" i="1" a="1"/>
  <c r="Q71" i="1"/>
  <c r="H81" i="2" s="1"/>
  <c r="P71" i="1" a="1"/>
  <c r="P71" i="1"/>
  <c r="G81" i="2" s="1"/>
  <c r="O71" i="1" a="1"/>
  <c r="O71" i="1"/>
  <c r="F81" i="2" s="1"/>
  <c r="N71" i="1" a="1"/>
  <c r="N71" i="1"/>
  <c r="E81" i="2" s="1"/>
  <c r="M71" i="1" a="1"/>
  <c r="M71" i="1" s="1"/>
  <c r="D81" i="2" s="1"/>
  <c r="J71" i="1" a="1"/>
  <c r="J71" i="1" s="1"/>
  <c r="I78" i="2" s="1"/>
  <c r="I71" i="1" a="1"/>
  <c r="I71" i="1" s="1"/>
  <c r="H78" i="2" s="1"/>
  <c r="H71" i="1" a="1"/>
  <c r="H71" i="1" s="1"/>
  <c r="G78" i="2" s="1"/>
  <c r="G71" i="1" a="1"/>
  <c r="G71" i="1" s="1"/>
  <c r="F78" i="2" s="1"/>
  <c r="F71" i="1" a="1"/>
  <c r="F71" i="1" s="1"/>
  <c r="E71" i="1" a="1"/>
  <c r="E71" i="1"/>
  <c r="AH35" i="1" a="1"/>
  <c r="AH35" i="1"/>
  <c r="AG35" i="1" a="1"/>
  <c r="AG35" i="1"/>
  <c r="AF35" i="1" a="1"/>
  <c r="AF35" i="1"/>
  <c r="AE35" i="1" a="1"/>
  <c r="AE35" i="1"/>
  <c r="F19" i="2" s="1"/>
  <c r="AD35" i="1" a="1"/>
  <c r="AD35" i="1" s="1"/>
  <c r="E19" i="2" s="1"/>
  <c r="AC35" i="1" a="1"/>
  <c r="AC35" i="1"/>
  <c r="D19" i="2" s="1"/>
  <c r="F18" i="2" s="1"/>
  <c r="Z35" i="1" a="1"/>
  <c r="Z35" i="1" s="1"/>
  <c r="I16" i="2" s="1"/>
  <c r="E82" i="3" s="1" a="1"/>
  <c r="Y35" i="1" a="1"/>
  <c r="Y35" i="1"/>
  <c r="X35" i="1" a="1"/>
  <c r="X35" i="1"/>
  <c r="W35" i="1" a="1"/>
  <c r="W35" i="1" s="1"/>
  <c r="F16" i="2" s="1"/>
  <c r="V35" i="1" a="1"/>
  <c r="V35" i="1" s="1"/>
  <c r="E16" i="2" s="1"/>
  <c r="U35" i="1" a="1"/>
  <c r="U35" i="1"/>
  <c r="D16" i="2" s="1"/>
  <c r="R35" i="1" a="1"/>
  <c r="R35" i="1"/>
  <c r="Q35" i="1" a="1"/>
  <c r="Q35" i="1"/>
  <c r="H13" i="2" s="1"/>
  <c r="P35" i="1" a="1"/>
  <c r="P35" i="1"/>
  <c r="G13" i="2" s="1"/>
  <c r="O35" i="1" a="1"/>
  <c r="O35" i="1" s="1"/>
  <c r="F13" i="2" s="1"/>
  <c r="F12" i="2" s="1"/>
  <c r="N35" i="1" a="1"/>
  <c r="N35" i="1" s="1"/>
  <c r="E13" i="2" s="1"/>
  <c r="M35" i="1" a="1"/>
  <c r="M35" i="1"/>
  <c r="D13" i="2" s="1"/>
  <c r="G12" i="2" s="1"/>
  <c r="J35" i="1" a="1"/>
  <c r="J35" i="1" s="1"/>
  <c r="I10" i="2" s="1"/>
  <c r="I35" i="1" a="1"/>
  <c r="I35" i="1"/>
  <c r="H10" i="2" s="1"/>
  <c r="H35" i="1" a="1"/>
  <c r="H35" i="1" s="1"/>
  <c r="G10" i="2" s="1"/>
  <c r="G35" i="1" a="1"/>
  <c r="G35" i="1"/>
  <c r="F10" i="2" s="1"/>
  <c r="F35" i="1" a="1"/>
  <c r="F35" i="1"/>
  <c r="E10" i="2" s="1"/>
  <c r="E35" i="1" a="1"/>
  <c r="E35" i="1"/>
  <c r="D10" i="2" s="1"/>
  <c r="F9" i="2" s="1"/>
  <c r="I85" i="3" l="1"/>
  <c r="F85" i="3"/>
  <c r="J85" i="3"/>
  <c r="G85" i="3"/>
  <c r="H85" i="3"/>
  <c r="E85" i="3"/>
  <c r="J82" i="3"/>
  <c r="E82" i="3"/>
  <c r="G82" i="3"/>
  <c r="F82" i="3"/>
  <c r="I82" i="3"/>
  <c r="H82" i="3"/>
  <c r="J46" i="3"/>
  <c r="F46" i="3"/>
  <c r="G46" i="3"/>
  <c r="I46" i="3"/>
  <c r="H46" i="3"/>
  <c r="E46" i="3"/>
  <c r="F145" i="2"/>
  <c r="E145" i="2"/>
  <c r="N145" i="2" s="1"/>
  <c r="E8" i="3" a="1"/>
  <c r="I145" i="2"/>
  <c r="R145" i="2" s="1"/>
  <c r="H145" i="2"/>
  <c r="G145" i="2"/>
  <c r="H80" i="2"/>
  <c r="E45" i="3" a="1"/>
  <c r="I80" i="2"/>
  <c r="G80" i="2"/>
  <c r="F80" i="2"/>
  <c r="E80" i="2"/>
  <c r="E216" i="2"/>
  <c r="E47" i="3" a="1"/>
  <c r="G43" i="3"/>
  <c r="E84" i="3" a="1"/>
  <c r="I151" i="2"/>
  <c r="H219" i="2"/>
  <c r="G219" i="2"/>
  <c r="E219" i="2"/>
  <c r="I219" i="2"/>
  <c r="F219" i="2"/>
  <c r="E9" i="2"/>
  <c r="N9" i="2" s="1"/>
  <c r="F213" i="2"/>
  <c r="O213" i="2" s="1"/>
  <c r="G213" i="2"/>
  <c r="E121" i="3" a="1"/>
  <c r="E120" i="3" a="1"/>
  <c r="F43" i="3"/>
  <c r="E18" i="2"/>
  <c r="F83" i="2"/>
  <c r="E83" i="3" a="1"/>
  <c r="E83" i="2"/>
  <c r="E222" i="2"/>
  <c r="E123" i="3" a="1"/>
  <c r="H18" i="2"/>
  <c r="E15" i="2"/>
  <c r="I15" i="2"/>
  <c r="H15" i="2"/>
  <c r="G15" i="2"/>
  <c r="F15" i="2"/>
  <c r="O9" i="2" s="1"/>
  <c r="E213" i="2"/>
  <c r="E44" i="3" a="1"/>
  <c r="H86" i="2"/>
  <c r="F86" i="2"/>
  <c r="I86" i="2"/>
  <c r="G86" i="2"/>
  <c r="H77" i="2"/>
  <c r="G77" i="2"/>
  <c r="F77" i="2"/>
  <c r="I77" i="2"/>
  <c r="E77" i="2"/>
  <c r="G18" i="2"/>
  <c r="E7" i="3" a="1"/>
  <c r="G216" i="2"/>
  <c r="H12" i="2"/>
  <c r="G148" i="2"/>
  <c r="F148" i="2"/>
  <c r="I148" i="2"/>
  <c r="H148" i="2"/>
  <c r="E148" i="2"/>
  <c r="E154" i="2"/>
  <c r="E122" i="3" a="1"/>
  <c r="I154" i="2"/>
  <c r="H154" i="2"/>
  <c r="G154" i="2"/>
  <c r="F154" i="2"/>
  <c r="I12" i="2"/>
  <c r="J43" i="3"/>
  <c r="I43" i="3"/>
  <c r="E43" i="3"/>
  <c r="I9" i="2"/>
  <c r="G9" i="2"/>
  <c r="E6" i="3" a="1"/>
  <c r="H9" i="2"/>
  <c r="I18" i="2"/>
  <c r="E9" i="3" a="1"/>
  <c r="I213" i="2"/>
  <c r="F216" i="2"/>
  <c r="E12" i="2"/>
  <c r="H216" i="2"/>
  <c r="Q213" i="2" s="1"/>
  <c r="D119" i="3"/>
  <c r="E119" i="3"/>
  <c r="F119" i="3"/>
  <c r="F5" i="3"/>
  <c r="I119" i="3"/>
  <c r="E81" i="3"/>
  <c r="F81" i="3"/>
  <c r="G5" i="3"/>
  <c r="G81" i="3"/>
  <c r="E5" i="3"/>
  <c r="G119" i="3"/>
  <c r="H119" i="3"/>
  <c r="H5" i="3"/>
  <c r="I5" i="3"/>
  <c r="I84" i="3" l="1"/>
  <c r="E84" i="3"/>
  <c r="H84" i="3"/>
  <c r="G84" i="3"/>
  <c r="F84" i="3"/>
  <c r="J84" i="3"/>
  <c r="H45" i="3"/>
  <c r="G45" i="3"/>
  <c r="E45" i="3"/>
  <c r="F45" i="3"/>
  <c r="J45" i="3"/>
  <c r="I45" i="3"/>
  <c r="P9" i="2"/>
  <c r="O145" i="2"/>
  <c r="N213" i="2"/>
  <c r="J123" i="3"/>
  <c r="I123" i="3"/>
  <c r="H123" i="3"/>
  <c r="G123" i="3"/>
  <c r="F123" i="3"/>
  <c r="E123" i="3"/>
  <c r="R213" i="2"/>
  <c r="H9" i="3"/>
  <c r="E9" i="3"/>
  <c r="G9" i="3"/>
  <c r="F9" i="3"/>
  <c r="J9" i="3"/>
  <c r="I9" i="3"/>
  <c r="Q9" i="2"/>
  <c r="N77" i="2"/>
  <c r="R9" i="2"/>
  <c r="O77" i="2"/>
  <c r="I120" i="3"/>
  <c r="E120" i="3"/>
  <c r="H120" i="3"/>
  <c r="G120" i="3"/>
  <c r="F120" i="3"/>
  <c r="J120" i="3"/>
  <c r="J8" i="3"/>
  <c r="I8" i="3"/>
  <c r="F8" i="3"/>
  <c r="E8" i="3"/>
  <c r="H8" i="3"/>
  <c r="G8" i="3"/>
  <c r="J44" i="3"/>
  <c r="I44" i="3"/>
  <c r="F44" i="3"/>
  <c r="E44" i="3"/>
  <c r="H44" i="3"/>
  <c r="G44" i="3"/>
  <c r="J47" i="3"/>
  <c r="G47" i="3"/>
  <c r="I47" i="3"/>
  <c r="H47" i="3"/>
  <c r="F47" i="3"/>
  <c r="E47" i="3"/>
  <c r="J83" i="3"/>
  <c r="I83" i="3"/>
  <c r="G83" i="3"/>
  <c r="H83" i="3"/>
  <c r="F83" i="3"/>
  <c r="E83" i="3"/>
  <c r="P77" i="2"/>
  <c r="J121" i="3"/>
  <c r="I121" i="3"/>
  <c r="H121" i="3"/>
  <c r="G121" i="3"/>
  <c r="F121" i="3"/>
  <c r="E121" i="3"/>
  <c r="P145" i="2"/>
  <c r="H122" i="3"/>
  <c r="F122" i="3"/>
  <c r="J122" i="3"/>
  <c r="I122" i="3"/>
  <c r="G122" i="3"/>
  <c r="E122" i="3"/>
  <c r="J7" i="3"/>
  <c r="I7" i="3"/>
  <c r="G7" i="3"/>
  <c r="F7" i="3"/>
  <c r="E7" i="3"/>
  <c r="H7" i="3"/>
  <c r="G6" i="3"/>
  <c r="F6" i="3"/>
  <c r="E6" i="3"/>
  <c r="J6" i="3"/>
  <c r="I6" i="3"/>
  <c r="H6" i="3"/>
  <c r="R77" i="2"/>
  <c r="Q77" i="2"/>
  <c r="P213" i="2"/>
  <c r="Q145" i="2"/>
</calcChain>
</file>

<file path=xl/sharedStrings.xml><?xml version="1.0" encoding="utf-8"?>
<sst xmlns="http://schemas.openxmlformats.org/spreadsheetml/2006/main" count="444" uniqueCount="69">
  <si>
    <t>FORK  F X C</t>
  </si>
  <si>
    <t>MATRIZ 600 X 600</t>
  </si>
  <si>
    <t>1 hilo</t>
  </si>
  <si>
    <t>2 hilos</t>
  </si>
  <si>
    <t>4 hilos</t>
  </si>
  <si>
    <t>8 hilos</t>
  </si>
  <si>
    <t>12 hilos</t>
  </si>
  <si>
    <t>32 hilos</t>
  </si>
  <si>
    <t>MATRIZ 1200 x 1200</t>
  </si>
  <si>
    <t>MATRIZ 1800  x 1800</t>
  </si>
  <si>
    <t>MATRIZ 2400 x 2400</t>
  </si>
  <si>
    <t>Repetición #1</t>
  </si>
  <si>
    <t>Repetición #2</t>
  </si>
  <si>
    <t>Repetición #3</t>
  </si>
  <si>
    <t>Repetición #4</t>
  </si>
  <si>
    <t>Repetición #5</t>
  </si>
  <si>
    <t>Repetición #6</t>
  </si>
  <si>
    <t>Repetición #7</t>
  </si>
  <si>
    <t>Repetición #8</t>
  </si>
  <si>
    <t>Repetición #9</t>
  </si>
  <si>
    <t>Repetición #10</t>
  </si>
  <si>
    <t>Repetición #11</t>
  </si>
  <si>
    <t>Repetición #12</t>
  </si>
  <si>
    <t>Repetición #13</t>
  </si>
  <si>
    <t>Repetición #14</t>
  </si>
  <si>
    <t>Repetición #15</t>
  </si>
  <si>
    <t>Repetición #16</t>
  </si>
  <si>
    <t>Repetición #17</t>
  </si>
  <si>
    <t>Repetición #18</t>
  </si>
  <si>
    <t>Repetición #19</t>
  </si>
  <si>
    <t>Repetición #20</t>
  </si>
  <si>
    <t>Repetición #21</t>
  </si>
  <si>
    <t>Repetición #22</t>
  </si>
  <si>
    <t>Repetición #23</t>
  </si>
  <si>
    <t>Repetición #24</t>
  </si>
  <si>
    <t>Repetición #25</t>
  </si>
  <si>
    <t>Repetición #26</t>
  </si>
  <si>
    <t>Repetición #27</t>
  </si>
  <si>
    <t>Repetición #28</t>
  </si>
  <si>
    <t>Repetición #29</t>
  </si>
  <si>
    <t>Repetición #30</t>
  </si>
  <si>
    <t>PROMEDIO</t>
  </si>
  <si>
    <t>FORK F X T</t>
  </si>
  <si>
    <t>MATRIZ 1800 x 1800</t>
  </si>
  <si>
    <t>POSIX F X C</t>
  </si>
  <si>
    <t>MATRIZ 4800 x 4800</t>
  </si>
  <si>
    <t>POSIX F X T</t>
  </si>
  <si>
    <t>Fork F x C</t>
  </si>
  <si>
    <t># Hilos</t>
  </si>
  <si>
    <t>SpeedUp Matrices 600 x 600</t>
  </si>
  <si>
    <t>Speed Up Promedio</t>
  </si>
  <si>
    <t>Promedio Matrices 600 x 600</t>
  </si>
  <si>
    <t>SpeedUp Matrices 1200 x 1200</t>
  </si>
  <si>
    <t>Promedio Matrices 1200 x 1200</t>
  </si>
  <si>
    <t>SpeedUp Matrices 1800 x 1800</t>
  </si>
  <si>
    <t>Promedio Matrices 1800 x 1800</t>
  </si>
  <si>
    <t>SpeedUp Matrices 2400 x 2400</t>
  </si>
  <si>
    <t>Promedio Matrices 2400 x 2400</t>
  </si>
  <si>
    <t>Fork  F x T</t>
  </si>
  <si>
    <t>SpeedUp Matrices 4800 x 4800</t>
  </si>
  <si>
    <t>Promedio Matrices 4800 x 4800</t>
  </si>
  <si>
    <t>Posix F x C</t>
  </si>
  <si>
    <t>Posix F x T</t>
  </si>
  <si>
    <t>MATRICES 600 X 600</t>
  </si>
  <si>
    <t>Algoritmo</t>
  </si>
  <si>
    <t>Fork F x T</t>
  </si>
  <si>
    <t>MATRICES 1200 X 1200</t>
  </si>
  <si>
    <t>MATRICES 1800 X 1800</t>
  </si>
  <si>
    <t>MATRICES 4800 X 4800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</si>
</sst>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"/>
    </font>
    <font>
      <b/>
      <i/>
      <sz val="28"/>
      <color theme="1"/>
      <name val="Aptos Narrow"/>
      <family val="2"/>
      <charset val="1"/>
    </font>
    <font>
      <b/>
      <sz val="11"/>
      <color rgb="FFFF0000"/>
      <name val="Aptos Narrow"/>
      <family val="2"/>
      <charset val="1"/>
    </font>
    <font>
      <b/>
      <i/>
      <sz val="11"/>
      <color theme="1"/>
      <name val="Aptos Narrow"/>
      <family val="2"/>
      <charset val="1"/>
    </font>
    <font>
      <i/>
      <sz val="11"/>
      <color theme="1"/>
      <name val="Aptos Narrow"/>
      <family val="2"/>
      <charset val="1"/>
    </font>
    <font>
      <u/>
      <sz val="11"/>
      <color theme="1"/>
      <name val="Aptos Narrow"/>
      <family val="2"/>
      <charset val="1"/>
    </font>
    <font>
      <b/>
      <i/>
      <sz val="11"/>
      <color rgb="FFFF0000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rgb="FF196B24"/>
      </patternFill>
    </fill>
    <fill>
      <patternFill patternType="solid">
        <fgColor theme="3" tint="0.89999084444715716"/>
        <bgColor rgb="FF196B24"/>
      </patternFill>
    </fill>
  </fills>
  <borders count="33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theme="1" tint="4.9897762993255407E-2"/>
      </left>
      <right/>
      <top style="medium">
        <color theme="1" tint="4.9897762993255407E-2"/>
      </top>
      <bottom/>
      <diagonal/>
    </border>
    <border>
      <left/>
      <right/>
      <top style="medium">
        <color theme="1" tint="4.9897762993255407E-2"/>
      </top>
      <bottom/>
      <diagonal/>
    </border>
    <border>
      <left/>
      <right style="medium">
        <color theme="1" tint="4.9897762993255407E-2"/>
      </right>
      <top style="medium">
        <color theme="1" tint="4.9897762993255407E-2"/>
      </top>
      <bottom/>
      <diagonal/>
    </border>
    <border>
      <left style="medium">
        <color theme="1" tint="4.9897762993255407E-2"/>
      </left>
      <right/>
      <top/>
      <bottom/>
      <diagonal/>
    </border>
    <border>
      <left/>
      <right style="medium">
        <color theme="1" tint="4.9897762993255407E-2"/>
      </right>
      <top/>
      <bottom/>
      <diagonal/>
    </border>
    <border>
      <left style="medium">
        <color theme="1" tint="4.9897762993255407E-2"/>
      </left>
      <right/>
      <top/>
      <bottom style="medium">
        <color theme="1" tint="4.9897762993255407E-2"/>
      </bottom>
      <diagonal/>
    </border>
    <border>
      <left/>
      <right/>
      <top/>
      <bottom style="medium">
        <color theme="1" tint="4.9897762993255407E-2"/>
      </bottom>
      <diagonal/>
    </border>
    <border>
      <left/>
      <right style="medium">
        <color theme="1" tint="4.9897762993255407E-2"/>
      </right>
      <top/>
      <bottom style="medium">
        <color theme="1" tint="4.9897762993255407E-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3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2" fillId="2" borderId="0" xfId="0" applyFont="1" applyFill="1"/>
    <xf numFmtId="0" fontId="0" fillId="2" borderId="0" xfId="0" applyFill="1"/>
    <xf numFmtId="0" fontId="0" fillId="2" borderId="5" xfId="0" applyFill="1" applyBorder="1"/>
    <xf numFmtId="0" fontId="4" fillId="2" borderId="4" xfId="0" applyFont="1" applyFill="1" applyBorder="1"/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/>
    <xf numFmtId="0" fontId="3" fillId="2" borderId="7" xfId="0" applyFont="1" applyFill="1" applyBorder="1" applyAlignment="1">
      <alignment horizontal="right"/>
    </xf>
    <xf numFmtId="0" fontId="3" fillId="2" borderId="8" xfId="0" applyFont="1" applyFill="1" applyBorder="1"/>
    <xf numFmtId="0" fontId="0" fillId="2" borderId="9" xfId="0" applyFill="1" applyBorder="1"/>
    <xf numFmtId="0" fontId="3" fillId="2" borderId="0" xfId="0" applyFont="1" applyFill="1"/>
    <xf numFmtId="0" fontId="0" fillId="2" borderId="10" xfId="0" applyFill="1" applyBorder="1"/>
    <xf numFmtId="0" fontId="5" fillId="2" borderId="0" xfId="0" applyFont="1" applyFill="1"/>
    <xf numFmtId="0" fontId="0" fillId="2" borderId="11" xfId="0" applyFill="1" applyBorder="1"/>
    <xf numFmtId="0" fontId="6" fillId="2" borderId="12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4" fillId="2" borderId="14" xfId="0" applyFont="1" applyFill="1" applyBorder="1"/>
    <xf numFmtId="0" fontId="0" fillId="2" borderId="15" xfId="0" applyFill="1" applyBorder="1"/>
    <xf numFmtId="0" fontId="3" fillId="2" borderId="15" xfId="0" applyFont="1" applyFill="1" applyBorder="1"/>
    <xf numFmtId="0" fontId="0" fillId="2" borderId="16" xfId="0" applyFill="1" applyBorder="1"/>
    <xf numFmtId="0" fontId="6" fillId="2" borderId="2" xfId="0" applyFont="1" applyFill="1" applyBorder="1"/>
    <xf numFmtId="0" fontId="6" fillId="2" borderId="0" xfId="0" applyFont="1" applyFill="1"/>
    <xf numFmtId="49" fontId="0" fillId="2" borderId="10" xfId="0" applyNumberFormat="1" applyFill="1" applyBorder="1"/>
    <xf numFmtId="0" fontId="2" fillId="2" borderId="4" xfId="0" applyFont="1" applyFill="1" applyBorder="1"/>
    <xf numFmtId="0" fontId="0" fillId="2" borderId="4" xfId="0" applyFill="1" applyBorder="1"/>
    <xf numFmtId="0" fontId="0" fillId="2" borderId="14" xfId="0" applyFill="1" applyBorder="1"/>
    <xf numFmtId="0" fontId="0" fillId="2" borderId="18" xfId="0" applyFill="1" applyBorder="1"/>
    <xf numFmtId="0" fontId="0" fillId="2" borderId="19" xfId="0" applyFill="1" applyBorder="1"/>
    <xf numFmtId="0" fontId="1" fillId="2" borderId="0" xfId="0" applyFont="1" applyFill="1"/>
    <xf numFmtId="0" fontId="0" fillId="2" borderId="21" xfId="0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23" xfId="0" applyFill="1" applyBorder="1"/>
    <xf numFmtId="0" fontId="0" fillId="2" borderId="24" xfId="0" applyFill="1" applyBorder="1"/>
    <xf numFmtId="0" fontId="0" fillId="2" borderId="17" xfId="0" applyFill="1" applyBorder="1"/>
    <xf numFmtId="0" fontId="0" fillId="2" borderId="20" xfId="0" applyFill="1" applyBorder="1"/>
    <xf numFmtId="0" fontId="0" fillId="2" borderId="22" xfId="0" applyFill="1" applyBorder="1"/>
    <xf numFmtId="0" fontId="0" fillId="0" borderId="0" xfId="0" applyFill="1"/>
    <xf numFmtId="0" fontId="0" fillId="3" borderId="18" xfId="0" applyFill="1" applyBorder="1"/>
    <xf numFmtId="0" fontId="0" fillId="3" borderId="19" xfId="0" applyFill="1" applyBorder="1"/>
    <xf numFmtId="0" fontId="0" fillId="3" borderId="0" xfId="0" applyFill="1"/>
    <xf numFmtId="0" fontId="1" fillId="3" borderId="0" xfId="0" applyFont="1" applyFill="1"/>
    <xf numFmtId="0" fontId="0" fillId="3" borderId="21" xfId="0" applyFill="1" applyBorder="1"/>
    <xf numFmtId="0" fontId="0" fillId="3" borderId="0" xfId="0" applyFill="1" applyAlignment="1">
      <alignment horizontal="left" textRotation="45"/>
    </xf>
    <xf numFmtId="0" fontId="3" fillId="3" borderId="0" xfId="0" applyFont="1" applyFill="1"/>
    <xf numFmtId="0" fontId="7" fillId="3" borderId="0" xfId="0" applyFont="1" applyFill="1" applyAlignment="1">
      <alignment horizontal="center" vertical="center" textRotation="45"/>
    </xf>
    <xf numFmtId="0" fontId="7" fillId="3" borderId="0" xfId="0" applyFont="1" applyFill="1"/>
    <xf numFmtId="0" fontId="0" fillId="3" borderId="23" xfId="0" applyFill="1" applyBorder="1"/>
    <xf numFmtId="0" fontId="0" fillId="3" borderId="24" xfId="0" applyFill="1" applyBorder="1"/>
    <xf numFmtId="0" fontId="0" fillId="3" borderId="17" xfId="0" applyFill="1" applyBorder="1"/>
    <xf numFmtId="0" fontId="0" fillId="3" borderId="20" xfId="0" applyFill="1" applyBorder="1"/>
    <xf numFmtId="0" fontId="0" fillId="3" borderId="22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4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96B24"/>
      <rgbColor rgb="FF000080"/>
      <rgbColor rgb="FF808000"/>
      <rgbColor rgb="FF800080"/>
      <rgbColor rgb="FF158466"/>
      <rgbColor rgb="FFC0C0C0"/>
      <rgbColor rgb="FF808080"/>
      <rgbColor rgb="FF9999FF"/>
      <rgbColor rgb="FFA02B93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F9ED5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595959"/>
      <rgbColor rgb="FF969696"/>
      <rgbColor rgb="FF003366"/>
      <rgbColor rgb="FF4EA72E"/>
      <rgbColor rgb="FF0D0D0D"/>
      <rgbColor rgb="FF2F641C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SpeedUp'!$C$9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SpeedUp'!$D$8:$I$8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SpeedUp'!$D$9:$I$9</c:f>
              <c:numCache>
                <c:formatCode>General</c:formatCode>
                <c:ptCount val="6"/>
                <c:pt idx="0">
                  <c:v>1</c:v>
                </c:pt>
                <c:pt idx="1">
                  <c:v>1.9117264908211173</c:v>
                </c:pt>
                <c:pt idx="2">
                  <c:v>3.6859189131036181</c:v>
                </c:pt>
                <c:pt idx="3">
                  <c:v>3.1965133017006986</c:v>
                </c:pt>
                <c:pt idx="4">
                  <c:v>3.1018391577640396</c:v>
                </c:pt>
                <c:pt idx="5">
                  <c:v>2.9512933474440697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BD-434F-8F09-32B7FA1CF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268539"/>
        <c:axId val="70136560"/>
      </c:lineChart>
      <c:catAx>
        <c:axId val="432685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0136560"/>
        <c:crosses val="autoZero"/>
        <c:auto val="1"/>
        <c:lblAlgn val="ctr"/>
        <c:lblOffset val="100"/>
        <c:noMultiLvlLbl val="0"/>
      </c:catAx>
      <c:valAx>
        <c:axId val="701365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32685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SpeedUp'!$C$12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SpeedUp'!$D$11:$I$11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SpeedUp'!$D$12:$I$12</c:f>
              <c:numCache>
                <c:formatCode>General</c:formatCode>
                <c:ptCount val="6"/>
                <c:pt idx="0">
                  <c:v>1</c:v>
                </c:pt>
                <c:pt idx="1">
                  <c:v>1.6733977878870447</c:v>
                </c:pt>
                <c:pt idx="2">
                  <c:v>2.2726744861224017</c:v>
                </c:pt>
                <c:pt idx="3">
                  <c:v>1.6644800523010228</c:v>
                </c:pt>
                <c:pt idx="4">
                  <c:v>1.5143280175918397</c:v>
                </c:pt>
                <c:pt idx="5">
                  <c:v>1.4237324943468854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071-AFAC-9CA678199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5230361"/>
        <c:axId val="52284658"/>
      </c:lineChart>
      <c:catAx>
        <c:axId val="952303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2284658"/>
        <c:crosses val="autoZero"/>
        <c:auto val="1"/>
        <c:lblAlgn val="ctr"/>
        <c:lblOffset val="100"/>
        <c:noMultiLvlLbl val="0"/>
      </c:catAx>
      <c:valAx>
        <c:axId val="52284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52303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</c:f>
              <c:strCache>
                <c:ptCount val="1"/>
                <c:pt idx="0">
                  <c:v>SpeedUp Matrices 1800 x 1800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SpeedUp'!$D$14:$I$14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SpeedUp'!$D$15:$I$15</c:f>
              <c:numCache>
                <c:formatCode>General</c:formatCode>
                <c:ptCount val="6"/>
                <c:pt idx="0">
                  <c:v>1</c:v>
                </c:pt>
                <c:pt idx="1">
                  <c:v>1.802047872227589</c:v>
                </c:pt>
                <c:pt idx="2">
                  <c:v>2.6436616566237592</c:v>
                </c:pt>
                <c:pt idx="3">
                  <c:v>1.0127925664317932</c:v>
                </c:pt>
                <c:pt idx="4">
                  <c:v>0.98817405996967045</c:v>
                </c:pt>
                <c:pt idx="5">
                  <c:v>0.95878505402099012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C-4290-AC8A-CEDB79372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459120"/>
        <c:axId val="25122873"/>
      </c:lineChart>
      <c:catAx>
        <c:axId val="124591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5122873"/>
        <c:crosses val="autoZero"/>
        <c:auto val="1"/>
        <c:lblAlgn val="ctr"/>
        <c:lblOffset val="100"/>
        <c:noMultiLvlLbl val="0"/>
      </c:catAx>
      <c:valAx>
        <c:axId val="2512287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24591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5488605639243"/>
          <c:y val="3.11513540455225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30885529157699"/>
          <c:w val="0.77937427578215501"/>
          <c:h val="0.7212161488619369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SpeedUp'!$C$18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SpeedUp'!$D$17:$I$17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SpeedUp'!$D$18:$I$18</c:f>
              <c:numCache>
                <c:formatCode>General</c:formatCode>
                <c:ptCount val="6"/>
                <c:pt idx="0">
                  <c:v>1</c:v>
                </c:pt>
                <c:pt idx="1">
                  <c:v>1.7400951037162371</c:v>
                </c:pt>
                <c:pt idx="2">
                  <c:v>2.2159029154500485</c:v>
                </c:pt>
                <c:pt idx="3">
                  <c:v>1.3110491495314127</c:v>
                </c:pt>
                <c:pt idx="4">
                  <c:v>1.2742996724132829</c:v>
                </c:pt>
                <c:pt idx="5">
                  <c:v>1.2447694957288591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90-43D4-B2BE-40A1F57E3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102610"/>
        <c:axId val="62446389"/>
      </c:lineChart>
      <c:catAx>
        <c:axId val="65102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2446389"/>
        <c:crosses val="autoZero"/>
        <c:auto val="1"/>
        <c:lblAlgn val="ctr"/>
        <c:lblOffset val="100"/>
        <c:noMultiLvlLbl val="0"/>
      </c:catAx>
      <c:valAx>
        <c:axId val="624463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51026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649447919099"/>
          <c:y val="0.13931250515209001"/>
          <c:w val="0.779360667129951"/>
          <c:h val="0.72121012282581798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SpeedUp'!$K$9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FF0000"/>
              </a:solidFill>
              <a:round/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SpeedUp'!$L$8:$R$8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SpeedUp'!$L$9:$R$9</c:f>
              <c:numCache>
                <c:formatCode>General</c:formatCode>
                <c:ptCount val="7"/>
                <c:pt idx="1">
                  <c:v>1</c:v>
                </c:pt>
                <c:pt idx="2">
                  <c:v>1.781816813662997</c:v>
                </c:pt>
                <c:pt idx="3">
                  <c:v>2.7045394928249569</c:v>
                </c:pt>
                <c:pt idx="4">
                  <c:v>1.7962087674912317</c:v>
                </c:pt>
                <c:pt idx="5">
                  <c:v>1.7196602269347081</c:v>
                </c:pt>
                <c:pt idx="6">
                  <c:v>1.644645097885201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0-42F9-BB5C-C1C470908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728223"/>
        <c:axId val="76896286"/>
      </c:lineChart>
      <c:catAx>
        <c:axId val="377282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6896286"/>
        <c:crosses val="autoZero"/>
        <c:auto val="1"/>
        <c:lblAlgn val="ctr"/>
        <c:lblOffset val="100"/>
        <c:noMultiLvlLbl val="0"/>
      </c:catAx>
      <c:valAx>
        <c:axId val="7689628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772822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SpeedUp'!$C$77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SpeedUp'!$D$76:$I$76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SpeedUp'!$D$77:$I$77</c:f>
              <c:numCache>
                <c:formatCode>General</c:formatCode>
                <c:ptCount val="6"/>
                <c:pt idx="0">
                  <c:v>1</c:v>
                </c:pt>
                <c:pt idx="1">
                  <c:v>1.87800386551973</c:v>
                </c:pt>
                <c:pt idx="2">
                  <c:v>3.5500760509933671</c:v>
                </c:pt>
                <c:pt idx="3">
                  <c:v>6.1972790977772911</c:v>
                </c:pt>
                <c:pt idx="4">
                  <c:v>5.1012595480047764</c:v>
                </c:pt>
                <c:pt idx="5">
                  <c:v>4.3332440140103738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3-426A-B441-A02B13DD7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4536974"/>
        <c:axId val="18264056"/>
      </c:lineChart>
      <c:catAx>
        <c:axId val="145369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8264056"/>
        <c:crosses val="autoZero"/>
        <c:auto val="1"/>
        <c:lblAlgn val="ctr"/>
        <c:lblOffset val="100"/>
        <c:noMultiLvlLbl val="0"/>
      </c:catAx>
      <c:valAx>
        <c:axId val="1826405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45369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SpeedUp'!$C$80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SpeedUp'!$D$79:$I$79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SpeedUp'!$D$80:$I$80</c:f>
              <c:numCache>
                <c:formatCode>General</c:formatCode>
                <c:ptCount val="6"/>
                <c:pt idx="0">
                  <c:v>1</c:v>
                </c:pt>
                <c:pt idx="1">
                  <c:v>1.8485297045811053</c:v>
                </c:pt>
                <c:pt idx="2">
                  <c:v>2.895601436265709</c:v>
                </c:pt>
                <c:pt idx="3">
                  <c:v>4.7740078414452745</c:v>
                </c:pt>
                <c:pt idx="4">
                  <c:v>4.1687304094118058</c:v>
                </c:pt>
                <c:pt idx="5">
                  <c:v>3.793519079587313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A-438C-BD96-5D67415F5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5165464"/>
        <c:axId val="81475615"/>
      </c:lineChart>
      <c:catAx>
        <c:axId val="25165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1475615"/>
        <c:crosses val="autoZero"/>
        <c:auto val="1"/>
        <c:lblAlgn val="ctr"/>
        <c:lblOffset val="100"/>
        <c:noMultiLvlLbl val="0"/>
      </c:catAx>
      <c:valAx>
        <c:axId val="8147561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5165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SpeedUp'!$C$83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SpeedUp'!$D$82:$I$82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SpeedUp'!$D$83:$I$83</c:f>
              <c:numCache>
                <c:formatCode>General</c:formatCode>
                <c:ptCount val="6"/>
                <c:pt idx="0">
                  <c:v>1</c:v>
                </c:pt>
                <c:pt idx="1">
                  <c:v>1.8711796861122729</c:v>
                </c:pt>
                <c:pt idx="2">
                  <c:v>2.9063258570413355</c:v>
                </c:pt>
                <c:pt idx="3">
                  <c:v>4.7382597321381281</c:v>
                </c:pt>
                <c:pt idx="4">
                  <c:v>3.4468470588980353</c:v>
                </c:pt>
                <c:pt idx="5">
                  <c:v>3.0783820025593469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F-492A-BEB4-508D644A4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8460312"/>
        <c:axId val="96989764"/>
      </c:lineChart>
      <c:catAx>
        <c:axId val="48460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6989764"/>
        <c:crosses val="autoZero"/>
        <c:auto val="1"/>
        <c:lblAlgn val="ctr"/>
        <c:lblOffset val="100"/>
        <c:noMultiLvlLbl val="0"/>
      </c:catAx>
      <c:valAx>
        <c:axId val="969897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8460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29728382755999"/>
          <c:w val="0.77937427578215501"/>
          <c:h val="0.72123930559016503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SpeedUp'!$C$86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SpeedUp'!$D$85:$I$85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SpeedUp'!$D$86:$I$86</c:f>
              <c:numCache>
                <c:formatCode>General</c:formatCode>
                <c:ptCount val="6"/>
                <c:pt idx="0">
                  <c:v>1</c:v>
                </c:pt>
                <c:pt idx="1">
                  <c:v>1.842929933118735</c:v>
                </c:pt>
                <c:pt idx="2">
                  <c:v>2.8949502593840393</c:v>
                </c:pt>
                <c:pt idx="3">
                  <c:v>4.0663145396443872</c:v>
                </c:pt>
                <c:pt idx="4">
                  <c:v>3.0886730410722483</c:v>
                </c:pt>
                <c:pt idx="5">
                  <c:v>2.9651580179551962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A-4F8A-9F30-0E0B0360B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946826"/>
        <c:axId val="34210792"/>
      </c:lineChart>
      <c:catAx>
        <c:axId val="649468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4210792"/>
        <c:crosses val="autoZero"/>
        <c:auto val="1"/>
        <c:lblAlgn val="ctr"/>
        <c:lblOffset val="100"/>
        <c:noMultiLvlLbl val="0"/>
      </c:catAx>
      <c:valAx>
        <c:axId val="342107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49468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001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SpeedUp'!$K$77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SpeedUp'!$L$76:$R$76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SpeedUp'!$L$77:$R$77</c:f>
              <c:numCache>
                <c:formatCode>General</c:formatCode>
                <c:ptCount val="7"/>
                <c:pt idx="1">
                  <c:v>1</c:v>
                </c:pt>
                <c:pt idx="2">
                  <c:v>1.8601607973329608</c:v>
                </c:pt>
                <c:pt idx="3">
                  <c:v>3.0617384009211124</c:v>
                </c:pt>
                <c:pt idx="4">
                  <c:v>4.9439653027512707</c:v>
                </c:pt>
                <c:pt idx="5">
                  <c:v>3.9513775143467162</c:v>
                </c:pt>
                <c:pt idx="6">
                  <c:v>3.5425757785280574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D-41CE-985A-645891057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1751073"/>
        <c:axId val="70151782"/>
      </c:lineChart>
      <c:catAx>
        <c:axId val="7175107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0151782"/>
        <c:crosses val="autoZero"/>
        <c:auto val="1"/>
        <c:lblAlgn val="ctr"/>
        <c:lblOffset val="100"/>
        <c:noMultiLvlLbl val="0"/>
      </c:catAx>
      <c:valAx>
        <c:axId val="7015178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17510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SpeedUp'!$C$145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SpeedUp'!$D$144:$I$144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SpeedUp'!$D$145:$I$145</c:f>
              <c:numCache>
                <c:formatCode>General</c:formatCode>
                <c:ptCount val="6"/>
                <c:pt idx="0">
                  <c:v>1</c:v>
                </c:pt>
                <c:pt idx="1">
                  <c:v>1.9950743650736442</c:v>
                </c:pt>
                <c:pt idx="2">
                  <c:v>3.8922326911357992</c:v>
                </c:pt>
                <c:pt idx="3">
                  <c:v>6.603547001749642</c:v>
                </c:pt>
                <c:pt idx="4">
                  <c:v>5.5932054966768456</c:v>
                </c:pt>
                <c:pt idx="5">
                  <c:v>6.4682558230116074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0-41FA-8ACD-4F3791946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858096"/>
        <c:axId val="31500209"/>
      </c:lineChart>
      <c:catAx>
        <c:axId val="648580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1500209"/>
        <c:crosses val="autoZero"/>
        <c:auto val="1"/>
        <c:lblAlgn val="ctr"/>
        <c:lblOffset val="100"/>
        <c:noMultiLvlLbl val="0"/>
      </c:catAx>
      <c:valAx>
        <c:axId val="315002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48580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947496428985"/>
          <c:y val="0.14207514307041599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SpeedUp'!$C$148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SpeedUp'!$D$147:$I$147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SpeedUp'!$D$148:$I$148</c:f>
              <c:numCache>
                <c:formatCode>General</c:formatCode>
                <c:ptCount val="6"/>
                <c:pt idx="0">
                  <c:v>1</c:v>
                </c:pt>
                <c:pt idx="1">
                  <c:v>1.7074103140082038</c:v>
                </c:pt>
                <c:pt idx="2">
                  <c:v>2.8411252307750869</c:v>
                </c:pt>
                <c:pt idx="3">
                  <c:v>1.9359023592433418</c:v>
                </c:pt>
                <c:pt idx="4">
                  <c:v>1.8859737107537153</c:v>
                </c:pt>
                <c:pt idx="5">
                  <c:v>1.853396250752726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EA-4186-A7E1-3B4055CA0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0044181"/>
        <c:axId val="32008755"/>
      </c:lineChart>
      <c:catAx>
        <c:axId val="800441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2008755"/>
        <c:crosses val="autoZero"/>
        <c:auto val="1"/>
        <c:lblAlgn val="ctr"/>
        <c:lblOffset val="100"/>
        <c:noMultiLvlLbl val="0"/>
      </c:catAx>
      <c:valAx>
        <c:axId val="320087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00441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SpeedUp'!$C$151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SpeedUp'!$D$150:$I$150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SpeedUp'!$D$151:$I$151</c:f>
              <c:numCache>
                <c:formatCode>General</c:formatCode>
                <c:ptCount val="6"/>
                <c:pt idx="0">
                  <c:v>1</c:v>
                </c:pt>
                <c:pt idx="1">
                  <c:v>1.8810972540769668</c:v>
                </c:pt>
                <c:pt idx="2">
                  <c:v>2.5195405038528729</c:v>
                </c:pt>
                <c:pt idx="3">
                  <c:v>1.3082299123658301</c:v>
                </c:pt>
                <c:pt idx="4">
                  <c:v>1.2977836637757634</c:v>
                </c:pt>
                <c:pt idx="5">
                  <c:v>1.2760110597926124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45-4D34-8048-FB103430A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5057099"/>
        <c:axId val="18597189"/>
      </c:lineChart>
      <c:catAx>
        <c:axId val="850570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8597189"/>
        <c:crosses val="autoZero"/>
        <c:auto val="1"/>
        <c:lblAlgn val="ctr"/>
        <c:lblOffset val="100"/>
        <c:noMultiLvlLbl val="0"/>
      </c:catAx>
      <c:valAx>
        <c:axId val="185971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5057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30885529157699"/>
          <c:w val="0.77937427578215501"/>
          <c:h val="0.72121614886193697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SpeedUp'!$C$154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SpeedUp'!$D$153:$I$153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SpeedUp'!$D$154:$I$154</c:f>
              <c:numCache>
                <c:formatCode>General</c:formatCode>
                <c:ptCount val="6"/>
                <c:pt idx="0">
                  <c:v>1</c:v>
                </c:pt>
                <c:pt idx="1">
                  <c:v>1.7260501767186773</c:v>
                </c:pt>
                <c:pt idx="2">
                  <c:v>2.1571841833635417</c:v>
                </c:pt>
                <c:pt idx="3">
                  <c:v>1.541360196207749</c:v>
                </c:pt>
                <c:pt idx="4">
                  <c:v>1.5321864968604935</c:v>
                </c:pt>
                <c:pt idx="5">
                  <c:v>1.49827730128901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48-4D9C-8E5D-0D6698736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0403675"/>
        <c:axId val="7729175"/>
      </c:lineChart>
      <c:catAx>
        <c:axId val="1040367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729175"/>
        <c:crosses val="autoZero"/>
        <c:auto val="1"/>
        <c:lblAlgn val="ctr"/>
        <c:lblOffset val="100"/>
        <c:noMultiLvlLbl val="0"/>
      </c:catAx>
      <c:valAx>
        <c:axId val="772917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104036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875188202139"/>
          <c:y val="0.13649851632047499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SpeedUp'!$K$145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SpeedUp'!$L$144:$R$144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SpeedUp'!$L$145:$R$145</c:f>
              <c:numCache>
                <c:formatCode>General</c:formatCode>
                <c:ptCount val="7"/>
                <c:pt idx="1">
                  <c:v>1</c:v>
                </c:pt>
                <c:pt idx="2">
                  <c:v>1.8274080274693731</c:v>
                </c:pt>
                <c:pt idx="3">
                  <c:v>2.8525206522818252</c:v>
                </c:pt>
                <c:pt idx="4">
                  <c:v>2.8472598673916409</c:v>
                </c:pt>
                <c:pt idx="5">
                  <c:v>2.5772873420167044</c:v>
                </c:pt>
                <c:pt idx="6">
                  <c:v>2.7739851087114888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6-4608-AA40-A876F11E1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2063597"/>
        <c:axId val="99750428"/>
      </c:lineChart>
      <c:catAx>
        <c:axId val="920635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9750428"/>
        <c:crosses val="autoZero"/>
        <c:auto val="1"/>
        <c:lblAlgn val="ctr"/>
        <c:lblOffset val="100"/>
        <c:noMultiLvlLbl val="0"/>
      </c:catAx>
      <c:valAx>
        <c:axId val="997504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20635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600 x 600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2152664993401"/>
          <c:y val="0.13926675514266801"/>
          <c:w val="0.77938136719326701"/>
          <c:h val="0.7212176509621770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SpeedUp'!$C$213</c:f>
              <c:strCache>
                <c:ptCount val="1"/>
                <c:pt idx="0">
                  <c:v>SpeedUp Matrices 600 x 600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SpeedUp'!$D$212:$I$212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SpeedUp'!$D$213:$I$213</c:f>
              <c:numCache>
                <c:formatCode>General</c:formatCode>
                <c:ptCount val="6"/>
                <c:pt idx="0">
                  <c:v>1</c:v>
                </c:pt>
                <c:pt idx="1">
                  <c:v>1.8837353378490005</c:v>
                </c:pt>
                <c:pt idx="2">
                  <c:v>3.607507830543867</c:v>
                </c:pt>
                <c:pt idx="3">
                  <c:v>6.4914602903501279</c:v>
                </c:pt>
                <c:pt idx="4">
                  <c:v>5.1507656864073725</c:v>
                </c:pt>
                <c:pt idx="5">
                  <c:v>5.0261174292515207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5-426E-B76D-DE71A18F1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2108"/>
        <c:axId val="77858922"/>
      </c:lineChart>
      <c:catAx>
        <c:axId val="9121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7858922"/>
        <c:crosses val="autoZero"/>
        <c:auto val="1"/>
        <c:lblAlgn val="ctr"/>
        <c:lblOffset val="100"/>
        <c:noMultiLvlLbl val="0"/>
      </c:catAx>
      <c:valAx>
        <c:axId val="778589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9121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25520444555001"/>
          <c:w val="0.779369185036482"/>
          <c:h val="0.72115783362362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SpeedUp'!$C$216</c:f>
              <c:strCache>
                <c:ptCount val="1"/>
                <c:pt idx="0">
                  <c:v>SpeedUp Matrices 1200 x 1200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SpeedUp'!$D$215:$I$215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SpeedUp'!$D$216:$I$216</c:f>
              <c:numCache>
                <c:formatCode>General</c:formatCode>
                <c:ptCount val="6"/>
                <c:pt idx="0">
                  <c:v>1</c:v>
                </c:pt>
                <c:pt idx="1">
                  <c:v>1.870605967263548</c:v>
                </c:pt>
                <c:pt idx="2">
                  <c:v>3.650705130628757</c:v>
                </c:pt>
                <c:pt idx="3">
                  <c:v>5.7777518482283634</c:v>
                </c:pt>
                <c:pt idx="4">
                  <c:v>4.5152186823412785</c:v>
                </c:pt>
                <c:pt idx="5">
                  <c:v>4.3347242579802341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C6-4F67-A748-A46C8F63F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4627140"/>
        <c:axId val="85850513"/>
      </c:lineChart>
      <c:catAx>
        <c:axId val="546271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5850513"/>
        <c:crosses val="autoZero"/>
        <c:auto val="1"/>
        <c:lblAlgn val="ctr"/>
        <c:lblOffset val="100"/>
        <c:noMultiLvlLbl val="0"/>
      </c:catAx>
      <c:valAx>
        <c:axId val="8585051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46271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1800 x 1800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88874533978"/>
          <c:y val="0.13932119205297999"/>
          <c:w val="0.779373223579787"/>
          <c:h val="0.721192052980132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SpeedUp'!$C$219</c:f>
              <c:strCache>
                <c:ptCount val="1"/>
                <c:pt idx="0">
                  <c:v>SpeedUp Matrices 2400 x 2400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SpeedUp'!$D$218:$I$218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SpeedUp'!$D$219:$I$219</c:f>
              <c:numCache>
                <c:formatCode>General</c:formatCode>
                <c:ptCount val="6"/>
                <c:pt idx="0">
                  <c:v>1</c:v>
                </c:pt>
                <c:pt idx="1">
                  <c:v>1.0846547058836296</c:v>
                </c:pt>
                <c:pt idx="2">
                  <c:v>2.9922603071561071</c:v>
                </c:pt>
                <c:pt idx="3">
                  <c:v>5.0765703999043659</c:v>
                </c:pt>
                <c:pt idx="4">
                  <c:v>3.572022863476108</c:v>
                </c:pt>
                <c:pt idx="5">
                  <c:v>3.3846403087190846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83-406C-89D9-85E6F32B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2084903"/>
        <c:axId val="44381229"/>
      </c:lineChart>
      <c:catAx>
        <c:axId val="820849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4381229"/>
        <c:crosses val="autoZero"/>
        <c:auto val="1"/>
        <c:lblAlgn val="ctr"/>
        <c:lblOffset val="100"/>
        <c:noMultiLvlLbl val="0"/>
      </c:catAx>
      <c:valAx>
        <c:axId val="443812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820849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 vs Número de Hilos Matrices de 2400 x 2400</a:t>
            </a:r>
          </a:p>
        </c:rich>
      </c:tx>
      <c:layout>
        <c:manualLayout>
          <c:xMode val="edge"/>
          <c:yMode val="edge"/>
          <c:x val="0.29938200077249899"/>
          <c:y val="3.87075338483263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41135573580499"/>
          <c:y val="0.13929728382755999"/>
          <c:w val="0.77937427578215501"/>
          <c:h val="0.72123930559016503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SpeedUp'!$C$222</c:f>
              <c:strCache>
                <c:ptCount val="1"/>
                <c:pt idx="0">
                  <c:v>SpeedUp Matrices 4800 x 4800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SpeedUp'!$D$221:$I$221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SpeedUp'!$D$222:$I$222</c:f>
              <c:numCache>
                <c:formatCode>General</c:formatCode>
                <c:ptCount val="6"/>
                <c:pt idx="0">
                  <c:v>1</c:v>
                </c:pt>
                <c:pt idx="1">
                  <c:v>1.8635335365672485</c:v>
                </c:pt>
                <c:pt idx="2">
                  <c:v>3.2545854168746664</c:v>
                </c:pt>
                <c:pt idx="3">
                  <c:v>3.9487324132362818</c:v>
                </c:pt>
                <c:pt idx="4">
                  <c:v>3.2262014915315618</c:v>
                </c:pt>
                <c:pt idx="5">
                  <c:v>3.1454695181093895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3-4879-A826-F159C252C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10564"/>
        <c:axId val="77812229"/>
      </c:lineChart>
      <c:catAx>
        <c:axId val="375105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7812229"/>
        <c:crosses val="autoZero"/>
        <c:auto val="1"/>
        <c:lblAlgn val="ctr"/>
        <c:lblOffset val="100"/>
        <c:noMultiLvlLbl val="0"/>
      </c:catAx>
      <c:valAx>
        <c:axId val="7781222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75105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SpeedUpp Promedio vs Número de Hilos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2039532101"/>
          <c:y val="0.13930102209034001"/>
          <c:w val="0.779369185036482"/>
          <c:h val="0.72123310253874096"/>
        </c:manualLayout>
      </c:layout>
      <c:lineChart>
        <c:grouping val="standard"/>
        <c:varyColors val="0"/>
        <c:ser>
          <c:idx val="0"/>
          <c:order val="0"/>
          <c:tx>
            <c:strRef>
              <c:f>'Gráficas SpeedUp'!$K$213</c:f>
              <c:strCache>
                <c:ptCount val="1"/>
                <c:pt idx="0">
                  <c:v>Speed Up Promedio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Aptos Narrow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SpeedUp'!$L$212:$R$212</c:f>
              <c:strCache>
                <c:ptCount val="7"/>
                <c:pt idx="1">
                  <c:v>1 hilo</c:v>
                </c:pt>
                <c:pt idx="2">
                  <c:v>2 hilos</c:v>
                </c:pt>
                <c:pt idx="3">
                  <c:v>4 hilos</c:v>
                </c:pt>
                <c:pt idx="4">
                  <c:v>8 hilos</c:v>
                </c:pt>
                <c:pt idx="5">
                  <c:v>12 hilos</c:v>
                </c:pt>
                <c:pt idx="6">
                  <c:v>32 hilos</c:v>
                </c:pt>
              </c:strCache>
            </c:strRef>
          </c:cat>
          <c:val>
            <c:numRef>
              <c:f>'Gráficas SpeedUp'!$L$213:$R$213</c:f>
              <c:numCache>
                <c:formatCode>General</c:formatCode>
                <c:ptCount val="7"/>
                <c:pt idx="1">
                  <c:v>1</c:v>
                </c:pt>
                <c:pt idx="2">
                  <c:v>1.6756323868908567</c:v>
                </c:pt>
                <c:pt idx="3">
                  <c:v>3.3762646713008495</c:v>
                </c:pt>
                <c:pt idx="4">
                  <c:v>5.3236287379297851</c:v>
                </c:pt>
                <c:pt idx="5">
                  <c:v>4.1160521809390804</c:v>
                </c:pt>
                <c:pt idx="6">
                  <c:v>3.9727378785150576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B-40EA-A177-AECDFB37A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090085"/>
        <c:axId val="26963470"/>
      </c:lineChart>
      <c:catAx>
        <c:axId val="750900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6963470"/>
        <c:crosses val="autoZero"/>
        <c:auto val="1"/>
        <c:lblAlgn val="ctr"/>
        <c:lblOffset val="100"/>
        <c:noMultiLvlLbl val="0"/>
      </c:catAx>
      <c:valAx>
        <c:axId val="269634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75090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600 x 600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395"/>
          <c:h val="0.721193573068094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Tiempos'!$D$6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Tiempos'!$E$6:$J$6</c:f>
              <c:numCache>
                <c:formatCode>General</c:formatCode>
                <c:ptCount val="6"/>
                <c:pt idx="0">
                  <c:v>239828</c:v>
                </c:pt>
                <c:pt idx="1">
                  <c:v>125451</c:v>
                </c:pt>
                <c:pt idx="2">
                  <c:v>65066</c:v>
                </c:pt>
                <c:pt idx="3">
                  <c:v>75028</c:v>
                </c:pt>
                <c:pt idx="4">
                  <c:v>77318</c:v>
                </c:pt>
                <c:pt idx="5">
                  <c:v>81262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4-4C79-ADB8-1DA36E14A70E}"/>
            </c:ext>
          </c:extLst>
        </c:ser>
        <c:ser>
          <c:idx val="1"/>
          <c:order val="1"/>
          <c:tx>
            <c:strRef>
              <c:f>'Gráficas Tiempos'!$D$7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Tiempos'!$E$7:$J$7</c:f>
              <c:numCache>
                <c:formatCode>General</c:formatCode>
                <c:ptCount val="6"/>
                <c:pt idx="0">
                  <c:v>226399</c:v>
                </c:pt>
                <c:pt idx="1">
                  <c:v>120553</c:v>
                </c:pt>
                <c:pt idx="2">
                  <c:v>63773</c:v>
                </c:pt>
                <c:pt idx="3">
                  <c:v>36532</c:v>
                </c:pt>
                <c:pt idx="4">
                  <c:v>44381</c:v>
                </c:pt>
                <c:pt idx="5">
                  <c:v>52247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4-4C79-ADB8-1DA36E14A70E}"/>
            </c:ext>
          </c:extLst>
        </c:ser>
        <c:ser>
          <c:idx val="2"/>
          <c:order val="2"/>
          <c:tx>
            <c:strRef>
              <c:f>'Gráficas Tiempos'!$D$8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Tiempos'!$E$8:$J$8</c:f>
              <c:numCache>
                <c:formatCode>General</c:formatCode>
                <c:ptCount val="6"/>
                <c:pt idx="0">
                  <c:v>249099</c:v>
                </c:pt>
                <c:pt idx="1">
                  <c:v>124857</c:v>
                </c:pt>
                <c:pt idx="2">
                  <c:v>63999</c:v>
                </c:pt>
                <c:pt idx="3">
                  <c:v>37722</c:v>
                </c:pt>
                <c:pt idx="4">
                  <c:v>44536</c:v>
                </c:pt>
                <c:pt idx="5">
                  <c:v>38511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54-4C79-ADB8-1DA36E14A70E}"/>
            </c:ext>
          </c:extLst>
        </c:ser>
        <c:ser>
          <c:idx val="3"/>
          <c:order val="3"/>
          <c:tx>
            <c:strRef>
              <c:f>'Gráficas Tiempos'!$D$9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Tiempos'!$E$5:$J$5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Tiempos'!$E$9:$J$9</c:f>
              <c:numCache>
                <c:formatCode>General</c:formatCode>
                <c:ptCount val="6"/>
                <c:pt idx="0">
                  <c:v>228045</c:v>
                </c:pt>
                <c:pt idx="1">
                  <c:v>121060</c:v>
                </c:pt>
                <c:pt idx="2">
                  <c:v>63214</c:v>
                </c:pt>
                <c:pt idx="3">
                  <c:v>35130</c:v>
                </c:pt>
                <c:pt idx="4">
                  <c:v>44274</c:v>
                </c:pt>
                <c:pt idx="5">
                  <c:v>45372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54-4C79-ADB8-1DA36E14A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499470"/>
        <c:axId val="21290658"/>
      </c:lineChart>
      <c:catAx>
        <c:axId val="654994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21290658"/>
        <c:crosses val="autoZero"/>
        <c:auto val="1"/>
        <c:lblAlgn val="ctr"/>
        <c:lblOffset val="100"/>
        <c:noMultiLvlLbl val="0"/>
      </c:catAx>
      <c:valAx>
        <c:axId val="2129065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654994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1200 x 1200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26702371844"/>
          <c:w val="0.74991618153555395"/>
          <c:h val="0.72119357306809495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Tiempos'!$D$44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Tiempos'!$E$44:$J$44</c:f>
              <c:numCache>
                <c:formatCode>General</c:formatCode>
                <c:ptCount val="6"/>
                <c:pt idx="0">
                  <c:v>2622380</c:v>
                </c:pt>
                <c:pt idx="1">
                  <c:v>1567099</c:v>
                </c:pt>
                <c:pt idx="2">
                  <c:v>1153874</c:v>
                </c:pt>
                <c:pt idx="3">
                  <c:v>1575495</c:v>
                </c:pt>
                <c:pt idx="4">
                  <c:v>1731712</c:v>
                </c:pt>
                <c:pt idx="5">
                  <c:v>1841905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61-498C-8725-1EFA033F6247}"/>
            </c:ext>
          </c:extLst>
        </c:ser>
        <c:ser>
          <c:idx val="1"/>
          <c:order val="1"/>
          <c:tx>
            <c:strRef>
              <c:f>'Gráficas Tiempos'!$D$45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Tiempos'!$E$45:$J$45</c:f>
              <c:numCache>
                <c:formatCode>General</c:formatCode>
                <c:ptCount val="6"/>
                <c:pt idx="0">
                  <c:v>1903163</c:v>
                </c:pt>
                <c:pt idx="1">
                  <c:v>1029555</c:v>
                </c:pt>
                <c:pt idx="2">
                  <c:v>657260</c:v>
                </c:pt>
                <c:pt idx="3">
                  <c:v>398651</c:v>
                </c:pt>
                <c:pt idx="4">
                  <c:v>456533</c:v>
                </c:pt>
                <c:pt idx="5">
                  <c:v>501688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61-498C-8725-1EFA033F6247}"/>
            </c:ext>
          </c:extLst>
        </c:ser>
        <c:ser>
          <c:idx val="2"/>
          <c:order val="2"/>
          <c:tx>
            <c:strRef>
              <c:f>'Gráficas Tiempos'!$D$46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070C0"/>
              </a:solidFill>
              <a:round/>
            </a:ln>
          </c:spPr>
          <c:marker>
            <c:symbol val="circle"/>
            <c:size val="5"/>
            <c:spPr>
              <a:solidFill>
                <a:srgbClr val="0070C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Tiempos'!$E$46:$J$46</c:f>
              <c:numCache>
                <c:formatCode>General</c:formatCode>
                <c:ptCount val="6"/>
                <c:pt idx="0">
                  <c:v>2686926</c:v>
                </c:pt>
                <c:pt idx="1">
                  <c:v>1573685</c:v>
                </c:pt>
                <c:pt idx="2">
                  <c:v>945726</c:v>
                </c:pt>
                <c:pt idx="3">
                  <c:v>1387945</c:v>
                </c:pt>
                <c:pt idx="4">
                  <c:v>1424689</c:v>
                </c:pt>
                <c:pt idx="5">
                  <c:v>1449731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61-498C-8725-1EFA033F6247}"/>
            </c:ext>
          </c:extLst>
        </c:ser>
        <c:ser>
          <c:idx val="3"/>
          <c:order val="3"/>
          <c:tx>
            <c:strRef>
              <c:f>'Gráficas Tiempos'!$D$47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Tiempos'!$E$43:$J$43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Tiempos'!$E$47:$J$47</c:f>
              <c:numCache>
                <c:formatCode>General</c:formatCode>
                <c:ptCount val="6"/>
                <c:pt idx="0">
                  <c:v>1931150</c:v>
                </c:pt>
                <c:pt idx="1">
                  <c:v>1032366</c:v>
                </c:pt>
                <c:pt idx="2">
                  <c:v>528980</c:v>
                </c:pt>
                <c:pt idx="3">
                  <c:v>334239</c:v>
                </c:pt>
                <c:pt idx="4">
                  <c:v>427698</c:v>
                </c:pt>
                <c:pt idx="5">
                  <c:v>445507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61-498C-8725-1EFA033F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2656798"/>
        <c:axId val="39694646"/>
      </c:lineChart>
      <c:catAx>
        <c:axId val="426567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9694646"/>
        <c:crosses val="autoZero"/>
        <c:auto val="1"/>
        <c:lblAlgn val="ctr"/>
        <c:lblOffset val="100"/>
        <c:noMultiLvlLbl val="0"/>
      </c:catAx>
      <c:valAx>
        <c:axId val="396946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2656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2400 x 2400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599"/>
          <c:w val="0.74991618153555395"/>
          <c:h val="0.7212149032208710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Tiempos'!$D$82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4EA72E"/>
              </a:solidFill>
              <a:round/>
            </a:ln>
          </c:spPr>
          <c:marker>
            <c:symbol val="circle"/>
            <c:size val="5"/>
            <c:spPr>
              <a:solidFill>
                <a:srgbClr val="4EA72E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Tiempos'!$E$82:$J$82</c:f>
              <c:numCache>
                <c:formatCode>General</c:formatCode>
                <c:ptCount val="6"/>
                <c:pt idx="0">
                  <c:v>9769152</c:v>
                </c:pt>
                <c:pt idx="1">
                  <c:v>5421139</c:v>
                </c:pt>
                <c:pt idx="2">
                  <c:v>3695311</c:v>
                </c:pt>
                <c:pt idx="3">
                  <c:v>9645758</c:v>
                </c:pt>
                <c:pt idx="4">
                  <c:v>9886064</c:v>
                </c:pt>
                <c:pt idx="5">
                  <c:v>10189095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F7-49DA-ABA0-3FCB50FAEFD1}"/>
            </c:ext>
          </c:extLst>
        </c:ser>
        <c:ser>
          <c:idx val="1"/>
          <c:order val="1"/>
          <c:tx>
            <c:strRef>
              <c:f>'Gráficas Tiempos'!$D$83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A02B93"/>
              </a:solidFill>
              <a:round/>
            </a:ln>
          </c:spPr>
          <c:marker>
            <c:symbol val="circle"/>
            <c:size val="5"/>
            <c:spPr>
              <a:solidFill>
                <a:srgbClr val="A02B9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Tiempos'!$E$83:$J$83</c:f>
              <c:numCache>
                <c:formatCode>General</c:formatCode>
                <c:ptCount val="6"/>
                <c:pt idx="0">
                  <c:v>6531203</c:v>
                </c:pt>
                <c:pt idx="1">
                  <c:v>3490420</c:v>
                </c:pt>
                <c:pt idx="2">
                  <c:v>2247237</c:v>
                </c:pt>
                <c:pt idx="3">
                  <c:v>1378397</c:v>
                </c:pt>
                <c:pt idx="4">
                  <c:v>1894834</c:v>
                </c:pt>
                <c:pt idx="5">
                  <c:v>2121635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F7-49DA-ABA0-3FCB50FAEFD1}"/>
            </c:ext>
          </c:extLst>
        </c:ser>
        <c:ser>
          <c:idx val="2"/>
          <c:order val="2"/>
          <c:tx>
            <c:strRef>
              <c:f>'Gráficas Tiempos'!$D$84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Tiempos'!$E$84:$J$84</c:f>
              <c:numCache>
                <c:formatCode>General</c:formatCode>
                <c:ptCount val="6"/>
                <c:pt idx="0">
                  <c:v>11268335</c:v>
                </c:pt>
                <c:pt idx="1">
                  <c:v>5990299</c:v>
                </c:pt>
                <c:pt idx="2">
                  <c:v>4472377</c:v>
                </c:pt>
                <c:pt idx="3">
                  <c:v>8613421</c:v>
                </c:pt>
                <c:pt idx="4">
                  <c:v>8682753</c:v>
                </c:pt>
                <c:pt idx="5">
                  <c:v>8830907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F7-49DA-ABA0-3FCB50FAEFD1}"/>
            </c:ext>
          </c:extLst>
        </c:ser>
        <c:ser>
          <c:idx val="3"/>
          <c:order val="3"/>
          <c:tx>
            <c:strRef>
              <c:f>'Gráficas Tiempos'!$D$85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2F641C"/>
              </a:solidFill>
              <a:round/>
            </a:ln>
          </c:spPr>
          <c:marker>
            <c:symbol val="circle"/>
            <c:size val="5"/>
            <c:spPr>
              <a:solidFill>
                <a:srgbClr val="2F641C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Tiempos'!$E$81:$J$81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Tiempos'!$E$85:$J$85</c:f>
              <c:numCache>
                <c:formatCode>General</c:formatCode>
                <c:ptCount val="6"/>
                <c:pt idx="0">
                  <c:v>6497406</c:v>
                </c:pt>
                <c:pt idx="1">
                  <c:v>5990299</c:v>
                </c:pt>
                <c:pt idx="2">
                  <c:v>2171404</c:v>
                </c:pt>
                <c:pt idx="3">
                  <c:v>1279881</c:v>
                </c:pt>
                <c:pt idx="4">
                  <c:v>1818971</c:v>
                </c:pt>
                <c:pt idx="5">
                  <c:v>1919674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F7-49DA-ABA0-3FCB50FAE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3562410"/>
        <c:axId val="3123839"/>
      </c:lineChart>
      <c:catAx>
        <c:axId val="335624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123839"/>
        <c:crosses val="autoZero"/>
        <c:auto val="1"/>
        <c:lblAlgn val="ctr"/>
        <c:lblOffset val="100"/>
        <c:noMultiLvlLbl val="0"/>
      </c:catAx>
      <c:valAx>
        <c:axId val="312383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33562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Aptos Narrow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Aptos Narrow"/>
              </a:rPr>
              <a:t>Tiempo promedio de Ejecución VS Número de Hilos para matrices de 4800 x 4800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39516596056"/>
          <c:y val="0.13931604314895599"/>
          <c:w val="0.74991618153555395"/>
          <c:h val="0.72121490322087101"/>
        </c:manualLayout>
      </c:layout>
      <c:lineChart>
        <c:grouping val="standard"/>
        <c:varyColors val="0"/>
        <c:ser>
          <c:idx val="0"/>
          <c:order val="0"/>
          <c:tx>
            <c:strRef>
              <c:f>'Gráficas Tiempos'!$D$120</c:f>
              <c:strCache>
                <c:ptCount val="1"/>
                <c:pt idx="0">
                  <c:v>Fork F x C</c:v>
                </c:pt>
              </c:strCache>
            </c:strRef>
          </c:tx>
          <c:spPr>
            <a:ln w="28440" cap="rnd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Tiempos'!$E$120:$J$120</c:f>
              <c:numCache>
                <c:formatCode>General</c:formatCode>
                <c:ptCount val="6"/>
                <c:pt idx="0">
                  <c:v>41982408</c:v>
                </c:pt>
                <c:pt idx="1">
                  <c:v>24126502</c:v>
                </c:pt>
                <c:pt idx="2">
                  <c:v>18945960</c:v>
                </c:pt>
                <c:pt idx="3">
                  <c:v>32021994</c:v>
                </c:pt>
                <c:pt idx="4">
                  <c:v>32945475</c:v>
                </c:pt>
                <c:pt idx="5">
                  <c:v>33727054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7-443B-ABB5-EF133CCFC544}"/>
            </c:ext>
          </c:extLst>
        </c:ser>
        <c:ser>
          <c:idx val="1"/>
          <c:order val="1"/>
          <c:tx>
            <c:strRef>
              <c:f>'Gráficas Tiempos'!$D$121</c:f>
              <c:strCache>
                <c:ptCount val="1"/>
                <c:pt idx="0">
                  <c:v>Fork F x T</c:v>
                </c:pt>
              </c:strCache>
            </c:strRef>
          </c:tx>
          <c:spPr>
            <a:ln w="28440" cap="rnd">
              <a:solidFill>
                <a:srgbClr val="E97132"/>
              </a:solidFill>
              <a:round/>
            </a:ln>
          </c:spPr>
          <c:marker>
            <c:symbol val="circle"/>
            <c:size val="5"/>
            <c:spPr>
              <a:solidFill>
                <a:srgbClr val="E9713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Tiempos'!$E$121:$J$121</c:f>
              <c:numCache>
                <c:formatCode>General</c:formatCode>
                <c:ptCount val="6"/>
                <c:pt idx="0">
                  <c:v>15469517</c:v>
                </c:pt>
                <c:pt idx="1">
                  <c:v>8393980</c:v>
                </c:pt>
                <c:pt idx="2">
                  <c:v>5343621</c:v>
                </c:pt>
                <c:pt idx="3">
                  <c:v>3804309</c:v>
                </c:pt>
                <c:pt idx="4">
                  <c:v>5008467</c:v>
                </c:pt>
                <c:pt idx="5">
                  <c:v>5217097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7-443B-ABB5-EF133CCFC544}"/>
            </c:ext>
          </c:extLst>
        </c:ser>
        <c:ser>
          <c:idx val="2"/>
          <c:order val="2"/>
          <c:tx>
            <c:strRef>
              <c:f>'Gráficas Tiempos'!$D$122</c:f>
              <c:strCache>
                <c:ptCount val="1"/>
                <c:pt idx="0">
                  <c:v>Posix F x C</c:v>
                </c:pt>
              </c:strCache>
            </c:strRef>
          </c:tx>
          <c:spPr>
            <a:ln w="28440" cap="rnd">
              <a:solidFill>
                <a:srgbClr val="196B24"/>
              </a:solidFill>
              <a:round/>
            </a:ln>
          </c:spPr>
          <c:marker>
            <c:symbol val="circle"/>
            <c:size val="5"/>
            <c:spPr>
              <a:solidFill>
                <a:srgbClr val="196B2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Tiempos'!$E$122:$J$122</c:f>
              <c:numCache>
                <c:formatCode>General</c:formatCode>
                <c:ptCount val="6"/>
                <c:pt idx="0">
                  <c:v>41932140</c:v>
                </c:pt>
                <c:pt idx="1">
                  <c:v>24293697</c:v>
                </c:pt>
                <c:pt idx="2">
                  <c:v>19438368</c:v>
                </c:pt>
                <c:pt idx="3">
                  <c:v>27204634</c:v>
                </c:pt>
                <c:pt idx="4">
                  <c:v>27367517</c:v>
                </c:pt>
                <c:pt idx="5">
                  <c:v>27986902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07-443B-ABB5-EF133CCFC544}"/>
            </c:ext>
          </c:extLst>
        </c:ser>
        <c:ser>
          <c:idx val="3"/>
          <c:order val="3"/>
          <c:tx>
            <c:strRef>
              <c:f>'Gráficas Tiempos'!$D$123</c:f>
              <c:strCache>
                <c:ptCount val="1"/>
                <c:pt idx="0">
                  <c:v>Posix F x T</c:v>
                </c:pt>
              </c:strCache>
            </c:strRef>
          </c:tx>
          <c:spPr>
            <a:ln w="28440" cap="rnd">
              <a:solidFill>
                <a:srgbClr val="0F9ED5"/>
              </a:solidFill>
              <a:round/>
            </a:ln>
          </c:spPr>
          <c:marker>
            <c:symbol val="circle"/>
            <c:size val="5"/>
            <c:spPr>
              <a:solidFill>
                <a:srgbClr val="0F9E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es-CO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'Gráficas Tiempos'!$E$119:$J$119</c:f>
              <c:strCache>
                <c:ptCount val="6"/>
                <c:pt idx="0">
                  <c:v>1 hilo</c:v>
                </c:pt>
                <c:pt idx="1">
                  <c:v>2 hilos</c:v>
                </c:pt>
                <c:pt idx="2">
                  <c:v>4 hilos</c:v>
                </c:pt>
                <c:pt idx="3">
                  <c:v>8 hilos</c:v>
                </c:pt>
                <c:pt idx="4">
                  <c:v>12 hilos</c:v>
                </c:pt>
                <c:pt idx="5">
                  <c:v>32 hilos</c:v>
                </c:pt>
              </c:strCache>
            </c:strRef>
          </c:cat>
          <c:val>
            <c:numRef>
              <c:f>'Gráficas Tiempos'!$E$123:$J$123</c:f>
              <c:numCache>
                <c:formatCode>General</c:formatCode>
                <c:ptCount val="6"/>
                <c:pt idx="0">
                  <c:v>15679678</c:v>
                </c:pt>
                <c:pt idx="1">
                  <c:v>8413950</c:v>
                </c:pt>
                <c:pt idx="2">
                  <c:v>4817719</c:v>
                </c:pt>
                <c:pt idx="3">
                  <c:v>3970813</c:v>
                </c:pt>
                <c:pt idx="4">
                  <c:v>4860105</c:v>
                </c:pt>
                <c:pt idx="5">
                  <c:v>4984845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07-443B-ABB5-EF133CCFC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670226"/>
        <c:axId val="46295407"/>
      </c:lineChart>
      <c:catAx>
        <c:axId val="56702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46295407"/>
        <c:crosses val="autoZero"/>
        <c:auto val="1"/>
        <c:lblAlgn val="ctr"/>
        <c:lblOffset val="100"/>
        <c:noMultiLvlLbl val="0"/>
      </c:catAx>
      <c:valAx>
        <c:axId val="4629540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Aptos Narrow"/>
              </a:defRPr>
            </a:pPr>
            <a:endParaRPr lang="es-CO"/>
          </a:p>
        </c:txPr>
        <c:crossAx val="56702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7769430101727197"/>
          <c:y val="0.12677079055874901"/>
          <c:w val="0.122305698982728"/>
          <c:h val="0.7336166735517869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strike="noStrike" spc="-1">
              <a:solidFill>
                <a:srgbClr val="595959"/>
              </a:solidFill>
              <a:latin typeface="Aptos Narrow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12240</xdr:colOff>
      <xdr:row>20</xdr:row>
      <xdr:rowOff>39960</xdr:rowOff>
    </xdr:from>
    <xdr:to>
      <xdr:col>12</xdr:col>
      <xdr:colOff>6551</xdr:colOff>
      <xdr:row>44</xdr:row>
      <xdr:rowOff>36360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20</xdr:row>
      <xdr:rowOff>36720</xdr:rowOff>
    </xdr:from>
    <xdr:to>
      <xdr:col>24</xdr:col>
      <xdr:colOff>6931</xdr:colOff>
      <xdr:row>44</xdr:row>
      <xdr:rowOff>33480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10440</xdr:colOff>
      <xdr:row>45</xdr:row>
      <xdr:rowOff>37080</xdr:rowOff>
    </xdr:from>
    <xdr:to>
      <xdr:col>12</xdr:col>
      <xdr:colOff>4391</xdr:colOff>
      <xdr:row>69</xdr:row>
      <xdr:rowOff>42119</xdr:rowOff>
    </xdr:to>
    <xdr:graphicFrame macro="">
      <xdr:nvGraphicFramePr>
        <xdr:cNvPr id="4" name="Gráfico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760320</xdr:colOff>
      <xdr:row>45</xdr:row>
      <xdr:rowOff>43560</xdr:rowOff>
    </xdr:from>
    <xdr:to>
      <xdr:col>24</xdr:col>
      <xdr:colOff>3671</xdr:colOff>
      <xdr:row>69</xdr:row>
      <xdr:rowOff>33479</xdr:rowOff>
    </xdr:to>
    <xdr:graphicFrame macro="">
      <xdr:nvGraphicFramePr>
        <xdr:cNvPr id="5" name="Gráfico 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25</xdr:col>
      <xdr:colOff>0</xdr:colOff>
      <xdr:row>33</xdr:row>
      <xdr:rowOff>28080</xdr:rowOff>
    </xdr:from>
    <xdr:to>
      <xdr:col>36</xdr:col>
      <xdr:colOff>6570</xdr:colOff>
      <xdr:row>57</xdr:row>
      <xdr:rowOff>51480</xdr:rowOff>
    </xdr:to>
    <xdr:graphicFrame macro="">
      <xdr:nvGraphicFramePr>
        <xdr:cNvPr id="6" name="Gráfico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12240</xdr:colOff>
      <xdr:row>88</xdr:row>
      <xdr:rowOff>77040</xdr:rowOff>
    </xdr:from>
    <xdr:to>
      <xdr:col>12</xdr:col>
      <xdr:colOff>6551</xdr:colOff>
      <xdr:row>112</xdr:row>
      <xdr:rowOff>73439</xdr:rowOff>
    </xdr:to>
    <xdr:graphicFrame macro="">
      <xdr:nvGraphicFramePr>
        <xdr:cNvPr id="7" name="Gráfico 8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88</xdr:row>
      <xdr:rowOff>73800</xdr:rowOff>
    </xdr:from>
    <xdr:to>
      <xdr:col>24</xdr:col>
      <xdr:colOff>6931</xdr:colOff>
      <xdr:row>112</xdr:row>
      <xdr:rowOff>70559</xdr:rowOff>
    </xdr:to>
    <xdr:graphicFrame macro="">
      <xdr:nvGraphicFramePr>
        <xdr:cNvPr id="8" name="Gráfico 9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</xdr:col>
      <xdr:colOff>10440</xdr:colOff>
      <xdr:row>113</xdr:row>
      <xdr:rowOff>73440</xdr:rowOff>
    </xdr:from>
    <xdr:to>
      <xdr:col>12</xdr:col>
      <xdr:colOff>4391</xdr:colOff>
      <xdr:row>137</xdr:row>
      <xdr:rowOff>78480</xdr:rowOff>
    </xdr:to>
    <xdr:graphicFrame macro="">
      <xdr:nvGraphicFramePr>
        <xdr:cNvPr id="9" name="Gráfico 1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12</xdr:col>
      <xdr:colOff>760320</xdr:colOff>
      <xdr:row>113</xdr:row>
      <xdr:rowOff>79920</xdr:rowOff>
    </xdr:from>
    <xdr:to>
      <xdr:col>24</xdr:col>
      <xdr:colOff>3671</xdr:colOff>
      <xdr:row>137</xdr:row>
      <xdr:rowOff>70200</xdr:rowOff>
    </xdr:to>
    <xdr:graphicFrame macro="">
      <xdr:nvGraphicFramePr>
        <xdr:cNvPr id="10" name="Gráfico 1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24</xdr:col>
      <xdr:colOff>743760</xdr:colOff>
      <xdr:row>101</xdr:row>
      <xdr:rowOff>37800</xdr:rowOff>
    </xdr:from>
    <xdr:to>
      <xdr:col>36</xdr:col>
      <xdr:colOff>4490</xdr:colOff>
      <xdr:row>125</xdr:row>
      <xdr:rowOff>61561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</xdr:col>
      <xdr:colOff>12240</xdr:colOff>
      <xdr:row>156</xdr:row>
      <xdr:rowOff>113760</xdr:rowOff>
    </xdr:from>
    <xdr:to>
      <xdr:col>12</xdr:col>
      <xdr:colOff>6551</xdr:colOff>
      <xdr:row>180</xdr:row>
      <xdr:rowOff>110160</xdr:rowOff>
    </xdr:to>
    <xdr:graphicFrame macro="">
      <xdr:nvGraphicFramePr>
        <xdr:cNvPr id="12" name="Gráfico 13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13</xdr:col>
      <xdr:colOff>0</xdr:colOff>
      <xdr:row>156</xdr:row>
      <xdr:rowOff>110520</xdr:rowOff>
    </xdr:from>
    <xdr:to>
      <xdr:col>24</xdr:col>
      <xdr:colOff>6931</xdr:colOff>
      <xdr:row>180</xdr:row>
      <xdr:rowOff>107280</xdr:rowOff>
    </xdr:to>
    <xdr:graphicFrame macro="">
      <xdr:nvGraphicFramePr>
        <xdr:cNvPr id="13" name="Gráfico 1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2</xdr:col>
      <xdr:colOff>10440</xdr:colOff>
      <xdr:row>181</xdr:row>
      <xdr:rowOff>110520</xdr:rowOff>
    </xdr:from>
    <xdr:to>
      <xdr:col>12</xdr:col>
      <xdr:colOff>4391</xdr:colOff>
      <xdr:row>205</xdr:row>
      <xdr:rowOff>115561</xdr:rowOff>
    </xdr:to>
    <xdr:graphicFrame macro="">
      <xdr:nvGraphicFramePr>
        <xdr:cNvPr id="14" name="Gráfico 15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12</xdr:col>
      <xdr:colOff>760320</xdr:colOff>
      <xdr:row>181</xdr:row>
      <xdr:rowOff>117000</xdr:rowOff>
    </xdr:from>
    <xdr:to>
      <xdr:col>24</xdr:col>
      <xdr:colOff>3671</xdr:colOff>
      <xdr:row>205</xdr:row>
      <xdr:rowOff>106921</xdr:rowOff>
    </xdr:to>
    <xdr:graphicFrame macro="">
      <xdr:nvGraphicFramePr>
        <xdr:cNvPr id="15" name="Gráfico 16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24</xdr:col>
      <xdr:colOff>743760</xdr:colOff>
      <xdr:row>169</xdr:row>
      <xdr:rowOff>74880</xdr:rowOff>
    </xdr:from>
    <xdr:to>
      <xdr:col>36</xdr:col>
      <xdr:colOff>4490</xdr:colOff>
      <xdr:row>193</xdr:row>
      <xdr:rowOff>98640</xdr:rowOff>
    </xdr:to>
    <xdr:graphicFrame macro="">
      <xdr:nvGraphicFramePr>
        <xdr:cNvPr id="16" name="Gráfico 1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2</xdr:col>
      <xdr:colOff>12240</xdr:colOff>
      <xdr:row>224</xdr:row>
      <xdr:rowOff>150840</xdr:rowOff>
    </xdr:from>
    <xdr:to>
      <xdr:col>12</xdr:col>
      <xdr:colOff>6551</xdr:colOff>
      <xdr:row>248</xdr:row>
      <xdr:rowOff>147240</xdr:rowOff>
    </xdr:to>
    <xdr:graphicFrame macro="">
      <xdr:nvGraphicFramePr>
        <xdr:cNvPr id="17" name="Gráfico 18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13</xdr:col>
      <xdr:colOff>0</xdr:colOff>
      <xdr:row>224</xdr:row>
      <xdr:rowOff>147600</xdr:rowOff>
    </xdr:from>
    <xdr:to>
      <xdr:col>24</xdr:col>
      <xdr:colOff>6931</xdr:colOff>
      <xdr:row>248</xdr:row>
      <xdr:rowOff>144360</xdr:rowOff>
    </xdr:to>
    <xdr:graphicFrame macro="">
      <xdr:nvGraphicFramePr>
        <xdr:cNvPr id="18" name="Gráfico 19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2</xdr:col>
      <xdr:colOff>10440</xdr:colOff>
      <xdr:row>249</xdr:row>
      <xdr:rowOff>147240</xdr:rowOff>
    </xdr:from>
    <xdr:to>
      <xdr:col>12</xdr:col>
      <xdr:colOff>4391</xdr:colOff>
      <xdr:row>273</xdr:row>
      <xdr:rowOff>152279</xdr:rowOff>
    </xdr:to>
    <xdr:graphicFrame macro="">
      <xdr:nvGraphicFramePr>
        <xdr:cNvPr id="19" name="Gráfico 2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12</xdr:col>
      <xdr:colOff>760320</xdr:colOff>
      <xdr:row>249</xdr:row>
      <xdr:rowOff>153720</xdr:rowOff>
    </xdr:from>
    <xdr:to>
      <xdr:col>24</xdr:col>
      <xdr:colOff>3671</xdr:colOff>
      <xdr:row>273</xdr:row>
      <xdr:rowOff>143999</xdr:rowOff>
    </xdr:to>
    <xdr:graphicFrame macro="">
      <xdr:nvGraphicFramePr>
        <xdr:cNvPr id="20" name="Gráfico 2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24</xdr:col>
      <xdr:colOff>743760</xdr:colOff>
      <xdr:row>237</xdr:row>
      <xdr:rowOff>111240</xdr:rowOff>
    </xdr:from>
    <xdr:to>
      <xdr:col>36</xdr:col>
      <xdr:colOff>4490</xdr:colOff>
      <xdr:row>261</xdr:row>
      <xdr:rowOff>135000</xdr:rowOff>
    </xdr:to>
    <xdr:graphicFrame macro="">
      <xdr:nvGraphicFramePr>
        <xdr:cNvPr id="21" name="Gráfico 2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36720</xdr:rowOff>
    </xdr:from>
    <xdr:to>
      <xdr:col>13</xdr:col>
      <xdr:colOff>847440</xdr:colOff>
      <xdr:row>36</xdr:row>
      <xdr:rowOff>36360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0</xdr:colOff>
      <xdr:row>48</xdr:row>
      <xdr:rowOff>83160</xdr:rowOff>
    </xdr:from>
    <xdr:to>
      <xdr:col>13</xdr:col>
      <xdr:colOff>847440</xdr:colOff>
      <xdr:row>74</xdr:row>
      <xdr:rowOff>82800</xdr:rowOff>
    </xdr:to>
    <xdr:graphicFrame macro="">
      <xdr:nvGraphicFramePr>
        <xdr:cNvPr id="21" name="Gráfico 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86</xdr:row>
      <xdr:rowOff>129600</xdr:rowOff>
    </xdr:from>
    <xdr:to>
      <xdr:col>13</xdr:col>
      <xdr:colOff>847440</xdr:colOff>
      <xdr:row>112</xdr:row>
      <xdr:rowOff>129240</xdr:rowOff>
    </xdr:to>
    <xdr:graphicFrame macro="">
      <xdr:nvGraphicFramePr>
        <xdr:cNvPr id="22" name="Gráfico 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124</xdr:row>
      <xdr:rowOff>175680</xdr:rowOff>
    </xdr:from>
    <xdr:to>
      <xdr:col>13</xdr:col>
      <xdr:colOff>847440</xdr:colOff>
      <xdr:row>150</xdr:row>
      <xdr:rowOff>175680</xdr:rowOff>
    </xdr:to>
    <xdr:graphicFrame macro="">
      <xdr:nvGraphicFramePr>
        <xdr:cNvPr id="23" name="Gráfico 4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46"/>
  <sheetViews>
    <sheetView tabSelected="1" zoomScale="55" zoomScaleNormal="55" workbookViewId="0">
      <selection activeCell="K170" sqref="K170"/>
    </sheetView>
  </sheetViews>
  <sheetFormatPr baseColWidth="10" defaultColWidth="10.6328125" defaultRowHeight="14.5" x14ac:dyDescent="0.35"/>
  <cols>
    <col min="2" max="2" width="2.54296875" customWidth="1"/>
    <col min="3" max="3" width="24.453125" customWidth="1"/>
    <col min="4" max="4" width="16.54296875" customWidth="1"/>
    <col min="5" max="5" width="10.81640625" customWidth="1"/>
    <col min="7" max="7" width="10.90625" customWidth="1"/>
    <col min="11" max="11" width="16.54296875" customWidth="1"/>
    <col min="19" max="19" width="16.54296875" customWidth="1"/>
    <col min="21" max="21" width="12.1796875" customWidth="1"/>
    <col min="26" max="26" width="10.90625" customWidth="1"/>
    <col min="27" max="27" width="17.81640625" customWidth="1"/>
    <col min="28" max="28" width="7.54296875" customWidth="1"/>
    <col min="29" max="29" width="17.90625" customWidth="1"/>
    <col min="30" max="30" width="13.90625" customWidth="1"/>
    <col min="35" max="35" width="1.90625" customWidth="1"/>
    <col min="60" max="60" width="4.36328125" customWidth="1"/>
    <col min="67" max="67" width="10.90625" customWidth="1"/>
  </cols>
  <sheetData>
    <row r="2" spans="2:35" ht="37" x14ac:dyDescent="0.85">
      <c r="B2" s="2" t="s">
        <v>0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</row>
    <row r="3" spans="2:35" x14ac:dyDescent="0.35">
      <c r="B3" s="6"/>
      <c r="C3" s="7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9"/>
    </row>
    <row r="4" spans="2:35" x14ac:dyDescent="0.35">
      <c r="B4" s="10"/>
      <c r="C4" s="11" t="s">
        <v>1</v>
      </c>
      <c r="D4" s="12"/>
      <c r="E4" s="12" t="s">
        <v>2</v>
      </c>
      <c r="F4" s="12" t="s">
        <v>3</v>
      </c>
      <c r="G4" s="12" t="s">
        <v>4</v>
      </c>
      <c r="H4" s="12" t="s">
        <v>5</v>
      </c>
      <c r="I4" s="12" t="s">
        <v>6</v>
      </c>
      <c r="J4" s="12" t="s">
        <v>7</v>
      </c>
      <c r="K4" s="13" t="s">
        <v>8</v>
      </c>
      <c r="L4" s="13"/>
      <c r="M4" s="12" t="s">
        <v>2</v>
      </c>
      <c r="N4" s="12" t="s">
        <v>3</v>
      </c>
      <c r="O4" s="12" t="s">
        <v>4</v>
      </c>
      <c r="P4" s="12" t="s">
        <v>5</v>
      </c>
      <c r="Q4" s="12" t="s">
        <v>6</v>
      </c>
      <c r="R4" s="12" t="s">
        <v>7</v>
      </c>
      <c r="S4" s="13" t="s">
        <v>9</v>
      </c>
      <c r="T4" s="13"/>
      <c r="U4" s="12" t="s">
        <v>2</v>
      </c>
      <c r="V4" s="12" t="s">
        <v>3</v>
      </c>
      <c r="W4" s="12" t="s">
        <v>4</v>
      </c>
      <c r="X4" s="12" t="s">
        <v>5</v>
      </c>
      <c r="Y4" s="12" t="s">
        <v>6</v>
      </c>
      <c r="Z4" s="12" t="s">
        <v>7</v>
      </c>
      <c r="AA4" s="13" t="s">
        <v>10</v>
      </c>
      <c r="AB4" s="13"/>
      <c r="AC4" s="12" t="s">
        <v>2</v>
      </c>
      <c r="AD4" s="12" t="s">
        <v>3</v>
      </c>
      <c r="AE4" s="12" t="s">
        <v>4</v>
      </c>
      <c r="AF4" s="12" t="s">
        <v>5</v>
      </c>
      <c r="AG4" s="12" t="s">
        <v>6</v>
      </c>
      <c r="AH4" s="14" t="s">
        <v>7</v>
      </c>
      <c r="AI4" s="9"/>
    </row>
    <row r="5" spans="2:35" x14ac:dyDescent="0.35">
      <c r="B5" s="10"/>
      <c r="C5" s="15"/>
      <c r="D5" s="16" t="s">
        <v>11</v>
      </c>
      <c r="E5" s="17">
        <v>240053</v>
      </c>
      <c r="F5" s="17">
        <v>126844</v>
      </c>
      <c r="G5" s="17">
        <v>65602</v>
      </c>
      <c r="H5" s="17">
        <v>40218</v>
      </c>
      <c r="I5" s="17">
        <v>87244</v>
      </c>
      <c r="J5" s="17">
        <v>73503</v>
      </c>
      <c r="K5" s="8"/>
      <c r="L5" s="8"/>
      <c r="M5" s="17">
        <v>2661511</v>
      </c>
      <c r="N5" s="17">
        <v>1518760</v>
      </c>
      <c r="O5" s="17">
        <v>1096523</v>
      </c>
      <c r="P5" s="17">
        <v>1602722</v>
      </c>
      <c r="Q5" s="17">
        <v>1768284</v>
      </c>
      <c r="R5" s="17">
        <v>1831699</v>
      </c>
      <c r="S5" s="8"/>
      <c r="T5" s="8"/>
      <c r="U5" s="17">
        <v>9755736</v>
      </c>
      <c r="V5" s="17">
        <v>5352695</v>
      </c>
      <c r="W5" s="17">
        <v>3696029</v>
      </c>
      <c r="X5" s="17">
        <v>9653777</v>
      </c>
      <c r="Y5" s="17">
        <v>9892665</v>
      </c>
      <c r="Z5" s="17">
        <v>10170240</v>
      </c>
      <c r="AA5" s="8"/>
      <c r="AB5" s="8"/>
      <c r="AC5" s="17">
        <v>41993582</v>
      </c>
      <c r="AD5" s="17">
        <v>23370442</v>
      </c>
      <c r="AE5" s="17">
        <v>19088846</v>
      </c>
      <c r="AF5" s="17">
        <v>31931721</v>
      </c>
      <c r="AG5" s="17">
        <v>33175244</v>
      </c>
      <c r="AH5" s="17">
        <v>33705714</v>
      </c>
      <c r="AI5" s="9"/>
    </row>
    <row r="6" spans="2:35" x14ac:dyDescent="0.35">
      <c r="B6" s="10"/>
      <c r="C6" s="15"/>
      <c r="D6" s="16" t="s">
        <v>12</v>
      </c>
      <c r="E6" s="17">
        <v>239982</v>
      </c>
      <c r="F6" s="17">
        <v>126417</v>
      </c>
      <c r="G6" s="17">
        <v>64358</v>
      </c>
      <c r="H6" s="17">
        <v>38602</v>
      </c>
      <c r="I6" s="17">
        <v>82864</v>
      </c>
      <c r="J6" s="17">
        <v>87454</v>
      </c>
      <c r="K6" s="8"/>
      <c r="L6" s="8"/>
      <c r="M6" s="17">
        <v>2614291</v>
      </c>
      <c r="N6" s="17">
        <v>1494349</v>
      </c>
      <c r="O6" s="17">
        <v>1153799</v>
      </c>
      <c r="P6" s="17">
        <v>1547174</v>
      </c>
      <c r="Q6" s="17">
        <v>1698011</v>
      </c>
      <c r="R6" s="17">
        <v>1816031</v>
      </c>
      <c r="S6" s="8"/>
      <c r="T6" s="8"/>
      <c r="U6" s="17">
        <v>9763037</v>
      </c>
      <c r="V6" s="17">
        <v>5077590</v>
      </c>
      <c r="W6" s="17">
        <v>3728527</v>
      </c>
      <c r="X6" s="17">
        <v>9627362</v>
      </c>
      <c r="Y6" s="17">
        <v>9732052</v>
      </c>
      <c r="Z6" s="17">
        <v>10151237</v>
      </c>
      <c r="AA6" s="8"/>
      <c r="AB6" s="8"/>
      <c r="AC6" s="17">
        <v>42164278</v>
      </c>
      <c r="AD6" s="17">
        <v>24525552</v>
      </c>
      <c r="AE6" s="17">
        <v>18624092</v>
      </c>
      <c r="AF6" s="17">
        <v>31707060</v>
      </c>
      <c r="AG6" s="17">
        <v>32697856</v>
      </c>
      <c r="AH6" s="17">
        <v>34068484</v>
      </c>
      <c r="AI6" s="9"/>
    </row>
    <row r="7" spans="2:35" x14ac:dyDescent="0.35">
      <c r="B7" s="10"/>
      <c r="C7" s="15"/>
      <c r="D7" s="16" t="s">
        <v>13</v>
      </c>
      <c r="E7" s="17">
        <v>239057</v>
      </c>
      <c r="F7" s="17">
        <v>118736</v>
      </c>
      <c r="G7" s="17">
        <v>63929</v>
      </c>
      <c r="H7" s="17">
        <v>46360</v>
      </c>
      <c r="I7" s="17">
        <v>88844</v>
      </c>
      <c r="J7" s="17">
        <v>89031</v>
      </c>
      <c r="K7" s="8"/>
      <c r="L7" s="8"/>
      <c r="M7" s="17">
        <v>2586511</v>
      </c>
      <c r="N7" s="17">
        <v>1535906</v>
      </c>
      <c r="O7" s="17">
        <v>1152700</v>
      </c>
      <c r="P7" s="17">
        <v>1571313</v>
      </c>
      <c r="Q7" s="17">
        <v>1707722</v>
      </c>
      <c r="R7" s="17">
        <v>1817657</v>
      </c>
      <c r="S7" s="8"/>
      <c r="T7" s="8"/>
      <c r="U7" s="17">
        <v>9788157</v>
      </c>
      <c r="V7" s="17">
        <v>5380329</v>
      </c>
      <c r="W7" s="17">
        <v>3640244</v>
      </c>
      <c r="X7" s="17">
        <v>9669981</v>
      </c>
      <c r="Y7" s="17">
        <v>9843665</v>
      </c>
      <c r="Z7" s="17">
        <v>10145327</v>
      </c>
      <c r="AA7" s="8"/>
      <c r="AB7" s="8"/>
      <c r="AC7" s="17">
        <v>41922109</v>
      </c>
      <c r="AD7" s="17">
        <v>23968250</v>
      </c>
      <c r="AE7" s="17">
        <v>18761075</v>
      </c>
      <c r="AF7" s="17">
        <v>31811874</v>
      </c>
      <c r="AG7" s="17">
        <v>32784562</v>
      </c>
      <c r="AH7" s="17">
        <v>33955234</v>
      </c>
      <c r="AI7" s="9"/>
    </row>
    <row r="8" spans="2:35" x14ac:dyDescent="0.35">
      <c r="B8" s="10"/>
      <c r="C8" s="15"/>
      <c r="D8" s="16" t="s">
        <v>14</v>
      </c>
      <c r="E8" s="17">
        <v>234981</v>
      </c>
      <c r="F8" s="17">
        <v>126705</v>
      </c>
      <c r="G8" s="17">
        <v>66616</v>
      </c>
      <c r="H8" s="17">
        <v>47547</v>
      </c>
      <c r="I8" s="17">
        <v>82255</v>
      </c>
      <c r="J8" s="17">
        <v>87313</v>
      </c>
      <c r="K8" s="8"/>
      <c r="L8" s="8"/>
      <c r="M8" s="17">
        <v>2601734</v>
      </c>
      <c r="N8" s="17">
        <v>1508921</v>
      </c>
      <c r="O8" s="17">
        <v>1149178</v>
      </c>
      <c r="P8" s="17">
        <v>1606632</v>
      </c>
      <c r="Q8" s="17">
        <v>1767985</v>
      </c>
      <c r="R8" s="17">
        <v>1884707</v>
      </c>
      <c r="S8" s="8"/>
      <c r="T8" s="8"/>
      <c r="U8" s="17">
        <v>9795882</v>
      </c>
      <c r="V8" s="17">
        <v>5448489</v>
      </c>
      <c r="W8" s="17">
        <v>3675434</v>
      </c>
      <c r="X8" s="17">
        <v>9582808</v>
      </c>
      <c r="Y8" s="17">
        <v>10047810</v>
      </c>
      <c r="Z8" s="17">
        <v>10191485</v>
      </c>
      <c r="AA8" s="8"/>
      <c r="AB8" s="8"/>
      <c r="AC8" s="17">
        <v>42015508</v>
      </c>
      <c r="AD8" s="17">
        <v>23856268</v>
      </c>
      <c r="AE8" s="17">
        <v>19274213</v>
      </c>
      <c r="AF8" s="17">
        <v>31725232</v>
      </c>
      <c r="AG8" s="17">
        <v>33029973</v>
      </c>
      <c r="AH8" s="17">
        <v>33723773</v>
      </c>
      <c r="AI8" s="9"/>
    </row>
    <row r="9" spans="2:35" x14ac:dyDescent="0.35">
      <c r="B9" s="10"/>
      <c r="C9" s="15"/>
      <c r="D9" s="16" t="s">
        <v>15</v>
      </c>
      <c r="E9" s="17">
        <v>236598</v>
      </c>
      <c r="F9" s="17">
        <v>130634</v>
      </c>
      <c r="G9" s="17">
        <v>64936</v>
      </c>
      <c r="H9" s="17">
        <v>58013</v>
      </c>
      <c r="I9" s="17">
        <v>74566</v>
      </c>
      <c r="J9" s="17">
        <v>76366</v>
      </c>
      <c r="K9" s="8"/>
      <c r="L9" s="8"/>
      <c r="M9" s="17">
        <v>2602720</v>
      </c>
      <c r="N9" s="17">
        <v>1517259</v>
      </c>
      <c r="O9" s="17">
        <v>1172857</v>
      </c>
      <c r="P9" s="17">
        <v>1624250</v>
      </c>
      <c r="Q9" s="17">
        <v>1770437</v>
      </c>
      <c r="R9" s="17">
        <v>1832060</v>
      </c>
      <c r="S9" s="8"/>
      <c r="T9" s="8"/>
      <c r="U9" s="17">
        <v>9750445</v>
      </c>
      <c r="V9" s="17">
        <v>5432805</v>
      </c>
      <c r="W9" s="17">
        <v>3665189</v>
      </c>
      <c r="X9" s="17">
        <v>9712133</v>
      </c>
      <c r="Y9" s="17">
        <v>9915520</v>
      </c>
      <c r="Z9" s="17">
        <v>10185373</v>
      </c>
      <c r="AA9" s="8"/>
      <c r="AB9" s="8"/>
      <c r="AC9" s="17">
        <v>42078539</v>
      </c>
      <c r="AD9" s="17">
        <v>24068108</v>
      </c>
      <c r="AE9" s="17">
        <v>18591041</v>
      </c>
      <c r="AF9" s="17">
        <v>32136840</v>
      </c>
      <c r="AG9" s="17">
        <v>32894416</v>
      </c>
      <c r="AH9" s="17">
        <v>33894145</v>
      </c>
      <c r="AI9" s="9"/>
    </row>
    <row r="10" spans="2:35" x14ac:dyDescent="0.35">
      <c r="B10" s="10"/>
      <c r="C10" s="15"/>
      <c r="D10" s="16" t="s">
        <v>16</v>
      </c>
      <c r="E10" s="17">
        <v>240184</v>
      </c>
      <c r="F10" s="17">
        <v>129469</v>
      </c>
      <c r="G10" s="17">
        <v>65459</v>
      </c>
      <c r="H10" s="17">
        <v>64441</v>
      </c>
      <c r="I10" s="17">
        <v>74763</v>
      </c>
      <c r="J10" s="17">
        <v>78138</v>
      </c>
      <c r="K10" s="8"/>
      <c r="L10" s="8"/>
      <c r="M10" s="17">
        <v>2605920</v>
      </c>
      <c r="N10" s="17">
        <v>1482091</v>
      </c>
      <c r="O10" s="17">
        <v>1157767</v>
      </c>
      <c r="P10" s="17">
        <v>1521744</v>
      </c>
      <c r="Q10" s="17">
        <v>1739384</v>
      </c>
      <c r="R10" s="17">
        <v>1848195</v>
      </c>
      <c r="S10" s="8"/>
      <c r="T10" s="8"/>
      <c r="U10" s="17">
        <v>9750788</v>
      </c>
      <c r="V10" s="17">
        <v>5418691</v>
      </c>
      <c r="W10" s="17">
        <v>3732746</v>
      </c>
      <c r="X10" s="17">
        <v>9695358</v>
      </c>
      <c r="Y10" s="17">
        <v>9936543</v>
      </c>
      <c r="Z10" s="17">
        <v>10179039</v>
      </c>
      <c r="AA10" s="8"/>
      <c r="AB10" s="8"/>
      <c r="AC10" s="17">
        <v>42026464</v>
      </c>
      <c r="AD10" s="17">
        <v>24402410</v>
      </c>
      <c r="AE10" s="17">
        <v>19422751</v>
      </c>
      <c r="AF10" s="17">
        <v>32440861</v>
      </c>
      <c r="AG10" s="17">
        <v>32819259</v>
      </c>
      <c r="AH10" s="17">
        <v>33992842</v>
      </c>
      <c r="AI10" s="9"/>
    </row>
    <row r="11" spans="2:35" x14ac:dyDescent="0.35">
      <c r="B11" s="10"/>
      <c r="C11" s="15"/>
      <c r="D11" s="16" t="s">
        <v>17</v>
      </c>
      <c r="E11" s="17">
        <v>232493</v>
      </c>
      <c r="F11" s="17">
        <v>120054</v>
      </c>
      <c r="G11" s="17">
        <v>64936</v>
      </c>
      <c r="H11" s="17">
        <v>74778</v>
      </c>
      <c r="I11" s="17">
        <v>76364</v>
      </c>
      <c r="J11" s="17">
        <v>91197</v>
      </c>
      <c r="K11" s="8"/>
      <c r="L11" s="8"/>
      <c r="M11" s="17">
        <v>2606886</v>
      </c>
      <c r="N11" s="17">
        <v>1458734</v>
      </c>
      <c r="O11" s="17">
        <v>1155550</v>
      </c>
      <c r="P11" s="17">
        <v>1536744</v>
      </c>
      <c r="Q11" s="17">
        <v>1740695</v>
      </c>
      <c r="R11" s="17">
        <v>1854787</v>
      </c>
      <c r="S11" s="8"/>
      <c r="T11" s="8"/>
      <c r="U11" s="17">
        <v>9755024</v>
      </c>
      <c r="V11" s="17">
        <v>5429941</v>
      </c>
      <c r="W11" s="17">
        <v>3698371</v>
      </c>
      <c r="X11" s="17">
        <v>9727485</v>
      </c>
      <c r="Y11" s="17">
        <v>9809388</v>
      </c>
      <c r="Z11" s="17">
        <v>10156526</v>
      </c>
      <c r="AA11" s="8"/>
      <c r="AB11" s="8"/>
      <c r="AC11" s="17">
        <v>41863648</v>
      </c>
      <c r="AD11" s="17">
        <v>24404608</v>
      </c>
      <c r="AE11" s="17">
        <v>19271015</v>
      </c>
      <c r="AF11" s="17">
        <v>32301173</v>
      </c>
      <c r="AG11" s="17">
        <v>33021264</v>
      </c>
      <c r="AH11" s="17">
        <v>33864385</v>
      </c>
      <c r="AI11" s="9"/>
    </row>
    <row r="12" spans="2:35" x14ac:dyDescent="0.35">
      <c r="B12" s="10"/>
      <c r="C12" s="15"/>
      <c r="D12" s="16" t="s">
        <v>18</v>
      </c>
      <c r="E12" s="17">
        <v>237117</v>
      </c>
      <c r="F12" s="17">
        <v>124161</v>
      </c>
      <c r="G12" s="17">
        <v>65802</v>
      </c>
      <c r="H12" s="17">
        <v>73950</v>
      </c>
      <c r="I12" s="17">
        <v>80716</v>
      </c>
      <c r="J12" s="17">
        <v>85397</v>
      </c>
      <c r="K12" s="8"/>
      <c r="L12" s="8"/>
      <c r="M12" s="17">
        <v>2632274</v>
      </c>
      <c r="N12" s="17">
        <v>1505710</v>
      </c>
      <c r="O12" s="17">
        <v>1152189</v>
      </c>
      <c r="P12" s="17">
        <v>1618238</v>
      </c>
      <c r="Q12" s="17">
        <v>1698004</v>
      </c>
      <c r="R12" s="17">
        <v>1864575</v>
      </c>
      <c r="S12" s="8"/>
      <c r="T12" s="8"/>
      <c r="U12" s="17">
        <v>9789995</v>
      </c>
      <c r="V12" s="17">
        <v>5439361</v>
      </c>
      <c r="W12" s="17">
        <v>3709014</v>
      </c>
      <c r="X12" s="17">
        <v>9524725</v>
      </c>
      <c r="Y12" s="17">
        <v>9848163</v>
      </c>
      <c r="Z12" s="17">
        <v>10149555</v>
      </c>
      <c r="AA12" s="8"/>
      <c r="AB12" s="8"/>
      <c r="AC12" s="17">
        <v>41971889</v>
      </c>
      <c r="AD12" s="17">
        <v>24059169</v>
      </c>
      <c r="AE12" s="17">
        <v>18721750</v>
      </c>
      <c r="AF12" s="17">
        <v>32149990</v>
      </c>
      <c r="AG12" s="17">
        <v>33086129</v>
      </c>
      <c r="AH12" s="17">
        <v>33595929</v>
      </c>
      <c r="AI12" s="9"/>
    </row>
    <row r="13" spans="2:35" x14ac:dyDescent="0.35">
      <c r="B13" s="10"/>
      <c r="C13" s="15"/>
      <c r="D13" s="16" t="s">
        <v>19</v>
      </c>
      <c r="E13" s="17">
        <v>239038</v>
      </c>
      <c r="F13" s="17">
        <v>127223</v>
      </c>
      <c r="G13" s="17">
        <v>64837</v>
      </c>
      <c r="H13" s="17">
        <v>83239</v>
      </c>
      <c r="I13" s="17">
        <v>70423</v>
      </c>
      <c r="J13" s="17">
        <v>72306</v>
      </c>
      <c r="K13" s="8"/>
      <c r="L13" s="8"/>
      <c r="M13" s="17">
        <v>2626250</v>
      </c>
      <c r="N13" s="17">
        <v>1610756</v>
      </c>
      <c r="O13" s="17">
        <v>1159345</v>
      </c>
      <c r="P13" s="17">
        <v>1525187</v>
      </c>
      <c r="Q13" s="17">
        <v>1721584</v>
      </c>
      <c r="R13" s="17">
        <v>1785352</v>
      </c>
      <c r="S13" s="8"/>
      <c r="T13" s="8"/>
      <c r="U13" s="17">
        <v>9753283</v>
      </c>
      <c r="V13" s="17">
        <v>5353423</v>
      </c>
      <c r="W13" s="17">
        <v>3716312</v>
      </c>
      <c r="X13" s="17">
        <v>9562650</v>
      </c>
      <c r="Y13" s="17">
        <v>9829795</v>
      </c>
      <c r="Z13" s="17">
        <v>10232845</v>
      </c>
      <c r="AA13" s="8"/>
      <c r="AB13" s="8"/>
      <c r="AC13" s="17">
        <v>42134152</v>
      </c>
      <c r="AD13" s="17">
        <v>24097229</v>
      </c>
      <c r="AE13" s="17">
        <v>18363115</v>
      </c>
      <c r="AF13" s="17">
        <v>32328006</v>
      </c>
      <c r="AG13" s="17">
        <v>32940378</v>
      </c>
      <c r="AH13" s="17">
        <v>33820869</v>
      </c>
      <c r="AI13" s="9"/>
    </row>
    <row r="14" spans="2:35" x14ac:dyDescent="0.35">
      <c r="B14" s="10"/>
      <c r="C14" s="15"/>
      <c r="D14" s="16" t="s">
        <v>20</v>
      </c>
      <c r="E14" s="17">
        <v>245125</v>
      </c>
      <c r="F14" s="17">
        <v>127720</v>
      </c>
      <c r="G14" s="17">
        <v>64596</v>
      </c>
      <c r="H14" s="17">
        <v>76938</v>
      </c>
      <c r="I14" s="17">
        <v>82525</v>
      </c>
      <c r="J14" s="17">
        <v>82865</v>
      </c>
      <c r="K14" s="8"/>
      <c r="L14" s="8"/>
      <c r="M14" s="17">
        <v>2639104</v>
      </c>
      <c r="N14" s="17">
        <v>1603869</v>
      </c>
      <c r="O14" s="17">
        <v>1150857</v>
      </c>
      <c r="P14" s="17">
        <v>1613556</v>
      </c>
      <c r="Q14" s="17">
        <v>1736049</v>
      </c>
      <c r="R14" s="17">
        <v>1840450</v>
      </c>
      <c r="S14" s="8"/>
      <c r="T14" s="8"/>
      <c r="U14" s="17">
        <v>9746378</v>
      </c>
      <c r="V14" s="17">
        <v>5440394</v>
      </c>
      <c r="W14" s="17">
        <v>3672430</v>
      </c>
      <c r="X14" s="17">
        <v>9538851</v>
      </c>
      <c r="Y14" s="17">
        <v>9610272</v>
      </c>
      <c r="Z14" s="17">
        <v>10221310</v>
      </c>
      <c r="AA14" s="8"/>
      <c r="AB14" s="8"/>
      <c r="AC14" s="17">
        <v>41871184</v>
      </c>
      <c r="AD14" s="17">
        <v>23984072</v>
      </c>
      <c r="AE14" s="17">
        <v>19487508</v>
      </c>
      <c r="AF14" s="17">
        <v>32086412</v>
      </c>
      <c r="AG14" s="17">
        <v>33068854</v>
      </c>
      <c r="AH14" s="17">
        <v>33555366</v>
      </c>
      <c r="AI14" s="9"/>
    </row>
    <row r="15" spans="2:35" x14ac:dyDescent="0.35">
      <c r="B15" s="10"/>
      <c r="C15" s="15"/>
      <c r="D15" s="16" t="s">
        <v>21</v>
      </c>
      <c r="E15" s="17">
        <v>238123</v>
      </c>
      <c r="F15" s="17">
        <v>124427</v>
      </c>
      <c r="G15" s="17">
        <v>65033</v>
      </c>
      <c r="H15" s="17">
        <v>90469</v>
      </c>
      <c r="I15" s="17">
        <v>75682</v>
      </c>
      <c r="J15" s="17">
        <v>89831</v>
      </c>
      <c r="K15" s="8"/>
      <c r="L15" s="8"/>
      <c r="M15" s="17">
        <v>2650258</v>
      </c>
      <c r="N15" s="17">
        <v>1603808</v>
      </c>
      <c r="O15" s="17">
        <v>1142819</v>
      </c>
      <c r="P15" s="17">
        <v>1509228</v>
      </c>
      <c r="Q15" s="17">
        <v>1708604</v>
      </c>
      <c r="R15" s="17">
        <v>1869990</v>
      </c>
      <c r="S15" s="8"/>
      <c r="T15" s="8"/>
      <c r="U15" s="17">
        <v>9775010</v>
      </c>
      <c r="V15" s="17">
        <v>5393783</v>
      </c>
      <c r="W15" s="17">
        <v>3670356</v>
      </c>
      <c r="X15" s="17">
        <v>9560418</v>
      </c>
      <c r="Y15" s="17">
        <v>9883792</v>
      </c>
      <c r="Z15" s="17">
        <v>10207283</v>
      </c>
      <c r="AA15" s="18"/>
      <c r="AB15" s="8"/>
      <c r="AC15" s="17">
        <v>42023825</v>
      </c>
      <c r="AD15" s="17">
        <v>23843472</v>
      </c>
      <c r="AE15" s="17">
        <v>19317601</v>
      </c>
      <c r="AF15" s="17">
        <v>32209587</v>
      </c>
      <c r="AG15" s="17">
        <v>33080885</v>
      </c>
      <c r="AH15" s="17">
        <v>33518062</v>
      </c>
      <c r="AI15" s="9"/>
    </row>
    <row r="16" spans="2:35" x14ac:dyDescent="0.35">
      <c r="B16" s="10"/>
      <c r="C16" s="15"/>
      <c r="D16" s="16" t="s">
        <v>22</v>
      </c>
      <c r="E16" s="17">
        <v>237170</v>
      </c>
      <c r="F16" s="17">
        <v>126777</v>
      </c>
      <c r="G16" s="17">
        <v>66434</v>
      </c>
      <c r="H16" s="17">
        <v>78935</v>
      </c>
      <c r="I16" s="17">
        <v>77099</v>
      </c>
      <c r="J16" s="17">
        <v>84113</v>
      </c>
      <c r="K16" s="8"/>
      <c r="L16" s="8"/>
      <c r="M16" s="17">
        <v>2612227</v>
      </c>
      <c r="N16" s="17">
        <v>1592005</v>
      </c>
      <c r="O16" s="17">
        <v>1143257</v>
      </c>
      <c r="P16" s="17">
        <v>1563046</v>
      </c>
      <c r="Q16" s="17">
        <v>1745904</v>
      </c>
      <c r="R16" s="17">
        <v>1849251</v>
      </c>
      <c r="S16" s="8"/>
      <c r="T16" s="8"/>
      <c r="U16" s="17">
        <v>9769192</v>
      </c>
      <c r="V16" s="17">
        <v>5411895</v>
      </c>
      <c r="W16" s="17">
        <v>3721101</v>
      </c>
      <c r="X16" s="17">
        <v>9669058</v>
      </c>
      <c r="Y16" s="17">
        <v>9928594</v>
      </c>
      <c r="Z16" s="17">
        <v>10184170</v>
      </c>
      <c r="AA16" s="8"/>
      <c r="AB16" s="8"/>
      <c r="AC16" s="17">
        <v>41989979</v>
      </c>
      <c r="AD16" s="17">
        <v>24093548</v>
      </c>
      <c r="AE16" s="17">
        <v>19079968</v>
      </c>
      <c r="AF16" s="17">
        <v>32440798</v>
      </c>
      <c r="AG16" s="17">
        <v>33036448</v>
      </c>
      <c r="AH16" s="17">
        <v>33516037</v>
      </c>
      <c r="AI16" s="9"/>
    </row>
    <row r="17" spans="2:35" x14ac:dyDescent="0.35">
      <c r="B17" s="10"/>
      <c r="C17" s="15"/>
      <c r="D17" s="16" t="s">
        <v>23</v>
      </c>
      <c r="E17" s="17">
        <v>238190</v>
      </c>
      <c r="F17" s="17">
        <v>128429</v>
      </c>
      <c r="G17" s="17">
        <v>66412</v>
      </c>
      <c r="H17" s="17">
        <v>82524</v>
      </c>
      <c r="I17" s="17">
        <v>75797</v>
      </c>
      <c r="J17" s="17">
        <v>80824</v>
      </c>
      <c r="K17" s="8"/>
      <c r="L17" s="8"/>
      <c r="M17" s="17">
        <v>2628299</v>
      </c>
      <c r="N17" s="17">
        <v>1610597</v>
      </c>
      <c r="O17" s="17">
        <v>1147407</v>
      </c>
      <c r="P17" s="17">
        <v>1549446</v>
      </c>
      <c r="Q17" s="17">
        <v>1711107</v>
      </c>
      <c r="R17" s="17">
        <v>1791725</v>
      </c>
      <c r="S17" s="8"/>
      <c r="T17" s="8"/>
      <c r="U17" s="17">
        <v>9751309</v>
      </c>
      <c r="V17" s="17">
        <v>5437808</v>
      </c>
      <c r="W17" s="17">
        <v>3717227</v>
      </c>
      <c r="X17" s="17">
        <v>9767088</v>
      </c>
      <c r="Y17" s="17">
        <v>9817178</v>
      </c>
      <c r="Z17" s="17">
        <v>10245502</v>
      </c>
      <c r="AA17" s="8"/>
      <c r="AB17" s="8"/>
      <c r="AC17" s="17">
        <v>42250348</v>
      </c>
      <c r="AD17" s="17">
        <v>24342874</v>
      </c>
      <c r="AE17" s="17">
        <v>19597783</v>
      </c>
      <c r="AF17" s="17">
        <v>31863772</v>
      </c>
      <c r="AG17" s="17">
        <v>32935630</v>
      </c>
      <c r="AH17" s="17">
        <v>33416655</v>
      </c>
      <c r="AI17" s="9"/>
    </row>
    <row r="18" spans="2:35" x14ac:dyDescent="0.35">
      <c r="B18" s="10"/>
      <c r="C18" s="15"/>
      <c r="D18" s="16" t="s">
        <v>24</v>
      </c>
      <c r="E18" s="17">
        <v>243442</v>
      </c>
      <c r="F18" s="17">
        <v>128258</v>
      </c>
      <c r="G18" s="17">
        <v>65305</v>
      </c>
      <c r="H18" s="17">
        <v>75102</v>
      </c>
      <c r="I18" s="17">
        <v>70016</v>
      </c>
      <c r="J18" s="17">
        <v>78805</v>
      </c>
      <c r="K18" s="8"/>
      <c r="L18" s="8"/>
      <c r="M18" s="17">
        <v>2642171</v>
      </c>
      <c r="N18" s="17">
        <v>1589797</v>
      </c>
      <c r="O18" s="17">
        <v>1154969</v>
      </c>
      <c r="P18" s="17">
        <v>1603952</v>
      </c>
      <c r="Q18" s="17">
        <v>1783238</v>
      </c>
      <c r="R18" s="17">
        <v>1853078</v>
      </c>
      <c r="S18" s="8"/>
      <c r="T18" s="8"/>
      <c r="U18" s="17">
        <v>9776838</v>
      </c>
      <c r="V18" s="17">
        <v>5452358</v>
      </c>
      <c r="W18" s="17">
        <v>3640398</v>
      </c>
      <c r="X18" s="17">
        <v>9617899</v>
      </c>
      <c r="Y18" s="17">
        <v>9698376</v>
      </c>
      <c r="Z18" s="17">
        <v>10220876</v>
      </c>
      <c r="AA18" s="8"/>
      <c r="AB18" s="8"/>
      <c r="AC18" s="17">
        <v>41763809</v>
      </c>
      <c r="AD18" s="17">
        <v>24105777</v>
      </c>
      <c r="AE18" s="17">
        <v>19287660</v>
      </c>
      <c r="AF18" s="17">
        <v>31620635</v>
      </c>
      <c r="AG18" s="17">
        <v>32870987</v>
      </c>
      <c r="AH18" s="17">
        <v>33542589</v>
      </c>
      <c r="AI18" s="9"/>
    </row>
    <row r="19" spans="2:35" x14ac:dyDescent="0.35">
      <c r="B19" s="10"/>
      <c r="C19" s="15"/>
      <c r="D19" s="16" t="s">
        <v>25</v>
      </c>
      <c r="E19" s="17">
        <v>241317</v>
      </c>
      <c r="F19" s="17">
        <v>122920</v>
      </c>
      <c r="G19" s="17">
        <v>64467</v>
      </c>
      <c r="H19" s="17">
        <v>84312</v>
      </c>
      <c r="I19" s="17">
        <v>68894</v>
      </c>
      <c r="J19" s="17">
        <v>79615</v>
      </c>
      <c r="K19" s="8"/>
      <c r="L19" s="8"/>
      <c r="M19" s="17">
        <v>2624950</v>
      </c>
      <c r="N19" s="17">
        <v>1598807</v>
      </c>
      <c r="O19" s="17">
        <v>1148819</v>
      </c>
      <c r="P19" s="17">
        <v>1519057</v>
      </c>
      <c r="Q19" s="17">
        <v>1717676</v>
      </c>
      <c r="R19" s="17">
        <v>1828865</v>
      </c>
      <c r="S19" s="8"/>
      <c r="T19" s="8"/>
      <c r="U19" s="17">
        <v>9789500</v>
      </c>
      <c r="V19" s="17">
        <v>5367424</v>
      </c>
      <c r="W19" s="17">
        <v>3675394</v>
      </c>
      <c r="X19" s="17">
        <v>9627904</v>
      </c>
      <c r="Y19" s="17">
        <v>9962408</v>
      </c>
      <c r="Z19" s="17">
        <v>10181479</v>
      </c>
      <c r="AA19" s="8"/>
      <c r="AB19" s="8"/>
      <c r="AC19" s="17">
        <v>42105386</v>
      </c>
      <c r="AD19" s="17">
        <v>23854342</v>
      </c>
      <c r="AE19" s="17">
        <v>20435625</v>
      </c>
      <c r="AF19" s="17">
        <v>31844349</v>
      </c>
      <c r="AG19" s="17">
        <v>32610536</v>
      </c>
      <c r="AH19" s="17">
        <v>33533128</v>
      </c>
      <c r="AI19" s="9"/>
    </row>
    <row r="20" spans="2:35" x14ac:dyDescent="0.35">
      <c r="B20" s="10"/>
      <c r="C20" s="15"/>
      <c r="D20" s="16" t="s">
        <v>26</v>
      </c>
      <c r="E20" s="17">
        <v>245693</v>
      </c>
      <c r="F20" s="17">
        <v>119120</v>
      </c>
      <c r="G20" s="17">
        <v>66174</v>
      </c>
      <c r="H20" s="17">
        <v>83613</v>
      </c>
      <c r="I20" s="17">
        <v>84483</v>
      </c>
      <c r="J20" s="17">
        <v>81414</v>
      </c>
      <c r="K20" s="8"/>
      <c r="L20" s="8"/>
      <c r="M20" s="17">
        <v>2640668</v>
      </c>
      <c r="N20" s="17">
        <v>1576916</v>
      </c>
      <c r="O20" s="17">
        <v>1148141</v>
      </c>
      <c r="P20" s="17">
        <v>1592322</v>
      </c>
      <c r="Q20" s="17">
        <v>1736164</v>
      </c>
      <c r="R20" s="17">
        <v>1850172</v>
      </c>
      <c r="S20" s="8"/>
      <c r="T20" s="8"/>
      <c r="U20" s="17">
        <v>9737651</v>
      </c>
      <c r="V20" s="17">
        <v>5456308</v>
      </c>
      <c r="W20" s="17">
        <v>3694816</v>
      </c>
      <c r="X20" s="17">
        <v>9637818</v>
      </c>
      <c r="Y20" s="17">
        <v>9891264</v>
      </c>
      <c r="Z20" s="17">
        <v>10179203</v>
      </c>
      <c r="AA20" s="8"/>
      <c r="AB20" s="8"/>
      <c r="AC20" s="17">
        <v>42122988</v>
      </c>
      <c r="AD20" s="17">
        <v>23938334</v>
      </c>
      <c r="AE20" s="17">
        <v>19125010</v>
      </c>
      <c r="AF20" s="17">
        <v>31520860</v>
      </c>
      <c r="AG20" s="17">
        <v>32544437</v>
      </c>
      <c r="AH20" s="17">
        <v>33441926</v>
      </c>
      <c r="AI20" s="9"/>
    </row>
    <row r="21" spans="2:35" x14ac:dyDescent="0.35">
      <c r="B21" s="10"/>
      <c r="C21" s="15"/>
      <c r="D21" s="16" t="s">
        <v>27</v>
      </c>
      <c r="E21" s="17">
        <v>241498</v>
      </c>
      <c r="F21" s="17">
        <v>129445</v>
      </c>
      <c r="G21" s="17">
        <v>64028</v>
      </c>
      <c r="H21" s="17">
        <v>84689</v>
      </c>
      <c r="I21" s="17">
        <v>75883</v>
      </c>
      <c r="J21" s="17">
        <v>75496</v>
      </c>
      <c r="K21" s="8"/>
      <c r="L21" s="8"/>
      <c r="M21" s="17">
        <v>2611683</v>
      </c>
      <c r="N21" s="17">
        <v>1589629</v>
      </c>
      <c r="O21" s="17">
        <v>1152112</v>
      </c>
      <c r="P21" s="17">
        <v>1611567</v>
      </c>
      <c r="Q21" s="17">
        <v>1828175</v>
      </c>
      <c r="R21" s="17">
        <v>1827548</v>
      </c>
      <c r="S21" s="8"/>
      <c r="T21" s="8"/>
      <c r="U21" s="17">
        <v>9748801</v>
      </c>
      <c r="V21" s="17">
        <v>5458691</v>
      </c>
      <c r="W21" s="17">
        <v>3656044</v>
      </c>
      <c r="X21" s="17">
        <v>9736031</v>
      </c>
      <c r="Y21" s="17">
        <v>9942423</v>
      </c>
      <c r="Z21" s="17">
        <v>10225726</v>
      </c>
      <c r="AA21" s="8"/>
      <c r="AB21" s="8"/>
      <c r="AC21" s="17">
        <v>41855168</v>
      </c>
      <c r="AD21" s="17">
        <v>24120652</v>
      </c>
      <c r="AE21" s="17">
        <v>17992791</v>
      </c>
      <c r="AF21" s="17">
        <v>31871931</v>
      </c>
      <c r="AG21" s="17">
        <v>33176989</v>
      </c>
      <c r="AH21" s="17">
        <v>32906539</v>
      </c>
      <c r="AI21" s="9"/>
    </row>
    <row r="22" spans="2:35" x14ac:dyDescent="0.35">
      <c r="B22" s="10"/>
      <c r="C22" s="15"/>
      <c r="D22" s="16" t="s">
        <v>28</v>
      </c>
      <c r="E22" s="17">
        <v>242112</v>
      </c>
      <c r="F22" s="17">
        <v>120801</v>
      </c>
      <c r="G22" s="17">
        <v>65633</v>
      </c>
      <c r="H22" s="17">
        <v>84556</v>
      </c>
      <c r="I22" s="17">
        <v>71753</v>
      </c>
      <c r="J22" s="17">
        <v>83316</v>
      </c>
      <c r="K22" s="8"/>
      <c r="L22" s="8"/>
      <c r="M22" s="17">
        <v>2611169</v>
      </c>
      <c r="N22" s="17">
        <v>1589307</v>
      </c>
      <c r="O22" s="17">
        <v>1150206</v>
      </c>
      <c r="P22" s="17">
        <v>1629720</v>
      </c>
      <c r="Q22" s="17">
        <v>1708764</v>
      </c>
      <c r="R22" s="17">
        <v>1873248</v>
      </c>
      <c r="S22" s="8"/>
      <c r="T22" s="8"/>
      <c r="U22" s="17">
        <v>9755432</v>
      </c>
      <c r="V22" s="17">
        <v>5424845</v>
      </c>
      <c r="W22" s="17">
        <v>3691715</v>
      </c>
      <c r="X22" s="17">
        <v>9676162</v>
      </c>
      <c r="Y22" s="17">
        <v>9941567</v>
      </c>
      <c r="Z22" s="17">
        <v>10173237</v>
      </c>
      <c r="AA22" s="8"/>
      <c r="AB22" s="8"/>
      <c r="AC22" s="17">
        <v>41851404</v>
      </c>
      <c r="AD22" s="17">
        <v>24149143</v>
      </c>
      <c r="AE22" s="17">
        <v>18617034</v>
      </c>
      <c r="AF22" s="17">
        <v>31969727</v>
      </c>
      <c r="AG22" s="17">
        <v>33212227</v>
      </c>
      <c r="AH22" s="17">
        <v>33275356</v>
      </c>
      <c r="AI22" s="9"/>
    </row>
    <row r="23" spans="2:35" x14ac:dyDescent="0.35">
      <c r="B23" s="10"/>
      <c r="C23" s="15"/>
      <c r="D23" s="16" t="s">
        <v>29</v>
      </c>
      <c r="E23" s="17">
        <v>236682</v>
      </c>
      <c r="F23" s="17">
        <v>121795</v>
      </c>
      <c r="G23" s="17">
        <v>65022</v>
      </c>
      <c r="H23" s="17">
        <v>78595</v>
      </c>
      <c r="I23" s="17">
        <v>77480</v>
      </c>
      <c r="J23" s="17">
        <v>78092</v>
      </c>
      <c r="K23" s="8"/>
      <c r="L23" s="8"/>
      <c r="M23" s="17">
        <v>2623795</v>
      </c>
      <c r="N23" s="17">
        <v>1570226</v>
      </c>
      <c r="O23" s="17">
        <v>1170735</v>
      </c>
      <c r="P23" s="17">
        <v>1546173</v>
      </c>
      <c r="Q23" s="17">
        <v>1699805</v>
      </c>
      <c r="R23" s="17">
        <v>1831426</v>
      </c>
      <c r="S23" s="8"/>
      <c r="T23" s="8"/>
      <c r="U23" s="17">
        <v>9795062</v>
      </c>
      <c r="V23" s="17">
        <v>5422115</v>
      </c>
      <c r="W23" s="17">
        <v>3703637</v>
      </c>
      <c r="X23" s="17">
        <v>9672761</v>
      </c>
      <c r="Y23" s="17">
        <v>9936741</v>
      </c>
      <c r="Z23" s="17">
        <v>10186662</v>
      </c>
      <c r="AA23" s="8"/>
      <c r="AB23" s="8"/>
      <c r="AC23" s="17">
        <v>42219512</v>
      </c>
      <c r="AD23" s="17">
        <v>23965010</v>
      </c>
      <c r="AE23" s="17">
        <v>18712163</v>
      </c>
      <c r="AF23" s="17">
        <v>31829190</v>
      </c>
      <c r="AG23" s="17">
        <v>32885062</v>
      </c>
      <c r="AH23" s="17">
        <v>33353939</v>
      </c>
      <c r="AI23" s="9"/>
    </row>
    <row r="24" spans="2:35" x14ac:dyDescent="0.35">
      <c r="B24" s="10"/>
      <c r="C24" s="15"/>
      <c r="D24" s="16" t="s">
        <v>30</v>
      </c>
      <c r="E24" s="17">
        <v>244759</v>
      </c>
      <c r="F24" s="17">
        <v>123214</v>
      </c>
      <c r="G24" s="17">
        <v>64593</v>
      </c>
      <c r="H24" s="17">
        <v>79041</v>
      </c>
      <c r="I24" s="17">
        <v>77731</v>
      </c>
      <c r="J24" s="17">
        <v>83234</v>
      </c>
      <c r="K24" s="8"/>
      <c r="L24" s="8"/>
      <c r="M24" s="17">
        <v>2614751</v>
      </c>
      <c r="N24" s="17">
        <v>1575443</v>
      </c>
      <c r="O24" s="17">
        <v>1143928</v>
      </c>
      <c r="P24" s="17">
        <v>1537884</v>
      </c>
      <c r="Q24" s="17">
        <v>1713764</v>
      </c>
      <c r="R24" s="17">
        <v>1809871</v>
      </c>
      <c r="S24" s="8"/>
      <c r="T24" s="8"/>
      <c r="U24" s="17">
        <v>9780929</v>
      </c>
      <c r="V24" s="17">
        <v>5391255</v>
      </c>
      <c r="W24" s="17">
        <v>3691071</v>
      </c>
      <c r="X24" s="17">
        <v>9727847</v>
      </c>
      <c r="Y24" s="17">
        <v>9970296</v>
      </c>
      <c r="Z24" s="17">
        <v>10179210</v>
      </c>
      <c r="AA24" s="8"/>
      <c r="AB24" s="8"/>
      <c r="AC24" s="17">
        <v>41836961</v>
      </c>
      <c r="AD24" s="17">
        <v>24515451</v>
      </c>
      <c r="AE24" s="17">
        <v>18616001</v>
      </c>
      <c r="AF24" s="17">
        <v>31720573</v>
      </c>
      <c r="AG24" s="17">
        <v>32827202</v>
      </c>
      <c r="AH24" s="17">
        <v>33092586</v>
      </c>
      <c r="AI24" s="9"/>
    </row>
    <row r="25" spans="2:35" x14ac:dyDescent="0.35">
      <c r="B25" s="10"/>
      <c r="C25" s="15"/>
      <c r="D25" s="16" t="s">
        <v>31</v>
      </c>
      <c r="E25" s="17">
        <v>246174</v>
      </c>
      <c r="F25" s="17">
        <v>123608</v>
      </c>
      <c r="G25" s="17">
        <v>64993</v>
      </c>
      <c r="H25" s="17">
        <v>76927</v>
      </c>
      <c r="I25" s="17">
        <v>81759</v>
      </c>
      <c r="J25" s="17">
        <v>69420</v>
      </c>
      <c r="K25" s="8"/>
      <c r="L25" s="8"/>
      <c r="M25" s="17">
        <v>2620101</v>
      </c>
      <c r="N25" s="17">
        <v>1577057</v>
      </c>
      <c r="O25" s="17">
        <v>1155349</v>
      </c>
      <c r="P25" s="17">
        <v>1548763</v>
      </c>
      <c r="Q25" s="17">
        <v>1726270</v>
      </c>
      <c r="R25" s="17">
        <v>1826172</v>
      </c>
      <c r="S25" s="8"/>
      <c r="T25" s="8"/>
      <c r="U25" s="17">
        <v>9773302</v>
      </c>
      <c r="V25" s="17">
        <v>5400539</v>
      </c>
      <c r="W25" s="17">
        <v>3711352</v>
      </c>
      <c r="X25" s="17">
        <v>9679361</v>
      </c>
      <c r="Y25" s="17">
        <v>9871314</v>
      </c>
      <c r="Z25" s="17">
        <v>10205790</v>
      </c>
      <c r="AA25" s="8"/>
      <c r="AB25" s="8"/>
      <c r="AC25" s="17">
        <v>41972606</v>
      </c>
      <c r="AD25" s="17">
        <v>24182393</v>
      </c>
      <c r="AE25" s="17">
        <v>19108820</v>
      </c>
      <c r="AF25" s="17">
        <v>31999601</v>
      </c>
      <c r="AG25" s="17">
        <v>33822730</v>
      </c>
      <c r="AH25" s="17">
        <v>33666660</v>
      </c>
      <c r="AI25" s="9"/>
    </row>
    <row r="26" spans="2:35" x14ac:dyDescent="0.35">
      <c r="B26" s="10"/>
      <c r="C26" s="15"/>
      <c r="D26" s="16" t="s">
        <v>32</v>
      </c>
      <c r="E26" s="17">
        <v>239656</v>
      </c>
      <c r="F26" s="17">
        <v>124785</v>
      </c>
      <c r="G26" s="17">
        <v>65045</v>
      </c>
      <c r="H26" s="17">
        <v>81262</v>
      </c>
      <c r="I26" s="17">
        <v>74477</v>
      </c>
      <c r="J26" s="17">
        <v>80342</v>
      </c>
      <c r="K26" s="8"/>
      <c r="L26" s="8"/>
      <c r="M26" s="17">
        <v>2596603</v>
      </c>
      <c r="N26" s="17">
        <v>1574176</v>
      </c>
      <c r="O26" s="17">
        <v>1168392</v>
      </c>
      <c r="P26" s="17">
        <v>1605269</v>
      </c>
      <c r="Q26" s="17">
        <v>1710666</v>
      </c>
      <c r="R26" s="17">
        <v>1876457</v>
      </c>
      <c r="S26" s="8"/>
      <c r="T26" s="8"/>
      <c r="U26" s="17">
        <v>9749458</v>
      </c>
      <c r="V26" s="17">
        <v>5408547</v>
      </c>
      <c r="W26" s="17">
        <v>3877298</v>
      </c>
      <c r="X26" s="17">
        <v>9679819</v>
      </c>
      <c r="Y26" s="17">
        <v>9963988</v>
      </c>
      <c r="Z26" s="17">
        <v>10198960</v>
      </c>
      <c r="AA26" s="8"/>
      <c r="AB26" s="8"/>
      <c r="AC26" s="17">
        <v>41991238</v>
      </c>
      <c r="AD26" s="17">
        <v>23792278</v>
      </c>
      <c r="AE26" s="17">
        <v>18665841</v>
      </c>
      <c r="AF26" s="17">
        <v>32318451</v>
      </c>
      <c r="AG26" s="17">
        <v>33148399</v>
      </c>
      <c r="AH26" s="17">
        <v>33618779</v>
      </c>
      <c r="AI26" s="9"/>
    </row>
    <row r="27" spans="2:35" x14ac:dyDescent="0.35">
      <c r="B27" s="10"/>
      <c r="C27" s="15"/>
      <c r="D27" s="16" t="s">
        <v>33</v>
      </c>
      <c r="E27" s="17">
        <v>242233</v>
      </c>
      <c r="F27" s="17">
        <v>131493</v>
      </c>
      <c r="G27" s="17">
        <v>66024</v>
      </c>
      <c r="H27" s="17">
        <v>75453</v>
      </c>
      <c r="I27" s="17">
        <v>74068</v>
      </c>
      <c r="J27" s="17">
        <v>85029</v>
      </c>
      <c r="K27" s="8"/>
      <c r="L27" s="8"/>
      <c r="M27" s="17">
        <v>2700081</v>
      </c>
      <c r="N27" s="17">
        <v>1581610</v>
      </c>
      <c r="O27" s="17">
        <v>1182823</v>
      </c>
      <c r="P27" s="17">
        <v>1576046</v>
      </c>
      <c r="Q27" s="17">
        <v>1745308</v>
      </c>
      <c r="R27" s="17">
        <v>1835492</v>
      </c>
      <c r="S27" s="8"/>
      <c r="T27" s="8"/>
      <c r="U27" s="17">
        <v>9802765</v>
      </c>
      <c r="V27" s="17">
        <v>5451170</v>
      </c>
      <c r="W27" s="17">
        <v>3672383</v>
      </c>
      <c r="X27" s="17">
        <v>9725355</v>
      </c>
      <c r="Y27" s="17">
        <v>9979552</v>
      </c>
      <c r="Z27" s="17">
        <v>10188973</v>
      </c>
      <c r="AA27" s="8"/>
      <c r="AB27" s="8"/>
      <c r="AC27" s="17">
        <v>41832119</v>
      </c>
      <c r="AD27" s="17">
        <v>24040497</v>
      </c>
      <c r="AE27" s="17">
        <v>18483682</v>
      </c>
      <c r="AF27" s="17">
        <v>31913123</v>
      </c>
      <c r="AG27" s="17">
        <v>32654806</v>
      </c>
      <c r="AH27" s="17">
        <v>33576359</v>
      </c>
      <c r="AI27" s="9"/>
    </row>
    <row r="28" spans="2:35" x14ac:dyDescent="0.35">
      <c r="B28" s="10"/>
      <c r="C28" s="15"/>
      <c r="D28" s="16" t="s">
        <v>34</v>
      </c>
      <c r="E28" s="17">
        <v>238638</v>
      </c>
      <c r="F28" s="17">
        <v>125864</v>
      </c>
      <c r="G28" s="17">
        <v>64595</v>
      </c>
      <c r="H28" s="17">
        <v>77862</v>
      </c>
      <c r="I28" s="17">
        <v>80043</v>
      </c>
      <c r="J28" s="17">
        <v>81466</v>
      </c>
      <c r="K28" s="8"/>
      <c r="L28" s="8"/>
      <c r="M28" s="17">
        <v>2625952</v>
      </c>
      <c r="N28" s="17">
        <v>1577030</v>
      </c>
      <c r="O28" s="17">
        <v>1135582</v>
      </c>
      <c r="P28" s="17">
        <v>1536757</v>
      </c>
      <c r="Q28" s="17">
        <v>1768807</v>
      </c>
      <c r="R28" s="17">
        <v>1895230</v>
      </c>
      <c r="S28" s="8"/>
      <c r="T28" s="8"/>
      <c r="U28" s="17">
        <v>9809815</v>
      </c>
      <c r="V28" s="17">
        <v>5420551</v>
      </c>
      <c r="W28" s="17">
        <v>3666687</v>
      </c>
      <c r="X28" s="17">
        <v>9641054</v>
      </c>
      <c r="Y28" s="17">
        <v>9902642</v>
      </c>
      <c r="Z28" s="17">
        <v>10180923</v>
      </c>
      <c r="AA28" s="8"/>
      <c r="AB28" s="8"/>
      <c r="AC28" s="17">
        <v>41919892</v>
      </c>
      <c r="AD28" s="17">
        <v>24129322</v>
      </c>
      <c r="AE28" s="17">
        <v>19042592</v>
      </c>
      <c r="AF28" s="17">
        <v>31996046</v>
      </c>
      <c r="AG28" s="17">
        <v>32965036</v>
      </c>
      <c r="AH28" s="17">
        <v>34026407</v>
      </c>
      <c r="AI28" s="9"/>
    </row>
    <row r="29" spans="2:35" x14ac:dyDescent="0.35">
      <c r="B29" s="10"/>
      <c r="C29" s="15"/>
      <c r="D29" s="16" t="s">
        <v>35</v>
      </c>
      <c r="E29" s="17">
        <v>244574</v>
      </c>
      <c r="F29" s="17">
        <v>127189</v>
      </c>
      <c r="G29" s="17">
        <v>63725</v>
      </c>
      <c r="H29" s="17">
        <v>76686</v>
      </c>
      <c r="I29" s="17">
        <v>80774</v>
      </c>
      <c r="J29" s="17">
        <v>80489</v>
      </c>
      <c r="K29" s="8"/>
      <c r="L29" s="8"/>
      <c r="M29" s="17">
        <v>2630430</v>
      </c>
      <c r="N29" s="17">
        <v>1592885</v>
      </c>
      <c r="O29" s="17">
        <v>1149299</v>
      </c>
      <c r="P29" s="17">
        <v>1560713</v>
      </c>
      <c r="Q29" s="17">
        <v>1687201</v>
      </c>
      <c r="R29" s="17">
        <v>1801901</v>
      </c>
      <c r="S29" s="8"/>
      <c r="T29" s="8"/>
      <c r="U29" s="17">
        <v>9816802</v>
      </c>
      <c r="V29" s="17">
        <v>5478114</v>
      </c>
      <c r="W29" s="17">
        <v>3727345</v>
      </c>
      <c r="X29" s="17">
        <v>9709418</v>
      </c>
      <c r="Y29" s="17">
        <v>9737121</v>
      </c>
      <c r="Z29" s="17">
        <v>10233345</v>
      </c>
      <c r="AA29" s="8"/>
      <c r="AB29" s="8"/>
      <c r="AC29" s="17">
        <v>42096158</v>
      </c>
      <c r="AD29" s="17">
        <v>24236106</v>
      </c>
      <c r="AE29" s="17">
        <v>18726269</v>
      </c>
      <c r="AF29" s="17">
        <v>32021863</v>
      </c>
      <c r="AG29" s="17">
        <v>32955354</v>
      </c>
      <c r="AH29" s="17">
        <v>34338317</v>
      </c>
      <c r="AI29" s="9"/>
    </row>
    <row r="30" spans="2:35" x14ac:dyDescent="0.35">
      <c r="B30" s="10"/>
      <c r="C30" s="15"/>
      <c r="D30" s="16" t="s">
        <v>36</v>
      </c>
      <c r="E30" s="17">
        <v>238983</v>
      </c>
      <c r="F30" s="17">
        <v>126250</v>
      </c>
      <c r="G30" s="17">
        <v>64388</v>
      </c>
      <c r="H30" s="17">
        <v>82296</v>
      </c>
      <c r="I30" s="17">
        <v>78505</v>
      </c>
      <c r="J30" s="17">
        <v>81904</v>
      </c>
      <c r="K30" s="8"/>
      <c r="L30" s="8"/>
      <c r="M30" s="17">
        <v>2623380</v>
      </c>
      <c r="N30" s="17">
        <v>1585537</v>
      </c>
      <c r="O30" s="17">
        <v>1148834</v>
      </c>
      <c r="P30" s="17">
        <v>1620468</v>
      </c>
      <c r="Q30" s="17">
        <v>1674032</v>
      </c>
      <c r="R30" s="17">
        <v>1862974</v>
      </c>
      <c r="S30" s="8"/>
      <c r="T30" s="8"/>
      <c r="U30" s="17">
        <v>9710899</v>
      </c>
      <c r="V30" s="17">
        <v>5457388</v>
      </c>
      <c r="W30" s="17">
        <v>3796588</v>
      </c>
      <c r="X30" s="17">
        <v>9571239</v>
      </c>
      <c r="Y30" s="17">
        <v>9870068</v>
      </c>
      <c r="Z30" s="17">
        <v>10144505</v>
      </c>
      <c r="AA30" s="8"/>
      <c r="AB30" s="8"/>
      <c r="AC30" s="17">
        <v>41821591</v>
      </c>
      <c r="AD30" s="17">
        <v>24598628</v>
      </c>
      <c r="AE30" s="17">
        <v>19343930</v>
      </c>
      <c r="AF30" s="17">
        <v>32117229</v>
      </c>
      <c r="AG30" s="17">
        <v>32644543</v>
      </c>
      <c r="AH30" s="17">
        <v>34496750</v>
      </c>
      <c r="AI30" s="9"/>
    </row>
    <row r="31" spans="2:35" x14ac:dyDescent="0.35">
      <c r="B31" s="10"/>
      <c r="C31" s="15"/>
      <c r="D31" s="16" t="s">
        <v>37</v>
      </c>
      <c r="E31" s="17">
        <v>233718</v>
      </c>
      <c r="F31" s="17">
        <v>127383</v>
      </c>
      <c r="G31" s="17">
        <v>64206</v>
      </c>
      <c r="H31" s="17">
        <v>77110</v>
      </c>
      <c r="I31" s="17">
        <v>73087</v>
      </c>
      <c r="J31" s="17">
        <v>81194</v>
      </c>
      <c r="K31" s="8"/>
      <c r="L31" s="8"/>
      <c r="M31" s="17">
        <v>2623970</v>
      </c>
      <c r="N31" s="17">
        <v>1563131</v>
      </c>
      <c r="O31" s="17">
        <v>1249683</v>
      </c>
      <c r="P31" s="17">
        <v>1592459</v>
      </c>
      <c r="Q31" s="17">
        <v>1738873</v>
      </c>
      <c r="R31" s="17">
        <v>1825338</v>
      </c>
      <c r="S31" s="8"/>
      <c r="T31" s="8"/>
      <c r="U31" s="17">
        <v>9777433</v>
      </c>
      <c r="V31" s="17">
        <v>5392206</v>
      </c>
      <c r="W31" s="17">
        <v>3749371</v>
      </c>
      <c r="X31" s="17">
        <v>9597437</v>
      </c>
      <c r="Y31" s="17">
        <v>9851268</v>
      </c>
      <c r="Z31" s="17">
        <v>10158699</v>
      </c>
      <c r="AA31" s="8"/>
      <c r="AB31" s="8"/>
      <c r="AC31" s="17">
        <v>41934446</v>
      </c>
      <c r="AD31" s="17">
        <v>24470025</v>
      </c>
      <c r="AE31" s="17">
        <v>18601462</v>
      </c>
      <c r="AF31" s="17">
        <v>32299078</v>
      </c>
      <c r="AG31" s="17">
        <v>32553737</v>
      </c>
      <c r="AH31" s="17">
        <v>34215127</v>
      </c>
      <c r="AI31" s="9"/>
    </row>
    <row r="32" spans="2:35" x14ac:dyDescent="0.35">
      <c r="B32" s="10"/>
      <c r="C32" s="15"/>
      <c r="D32" s="16" t="s">
        <v>38</v>
      </c>
      <c r="E32" s="17">
        <v>238795</v>
      </c>
      <c r="F32" s="17">
        <v>122377</v>
      </c>
      <c r="G32" s="17">
        <v>64999</v>
      </c>
      <c r="H32" s="17">
        <v>78491</v>
      </c>
      <c r="I32" s="17">
        <v>77212</v>
      </c>
      <c r="J32" s="17">
        <v>80167</v>
      </c>
      <c r="K32" s="8"/>
      <c r="L32" s="8"/>
      <c r="M32" s="17">
        <v>2611156</v>
      </c>
      <c r="N32" s="17">
        <v>1570629</v>
      </c>
      <c r="O32" s="17">
        <v>1148144</v>
      </c>
      <c r="P32" s="17">
        <v>1578186</v>
      </c>
      <c r="Q32" s="17">
        <v>1795923</v>
      </c>
      <c r="R32" s="17">
        <v>1858288</v>
      </c>
      <c r="S32" s="8"/>
      <c r="T32" s="8"/>
      <c r="U32" s="17">
        <v>9765488</v>
      </c>
      <c r="V32" s="17">
        <v>5465083</v>
      </c>
      <c r="W32" s="17">
        <v>3667638</v>
      </c>
      <c r="X32" s="17">
        <v>9518241</v>
      </c>
      <c r="Y32" s="17">
        <v>9942955</v>
      </c>
      <c r="Z32" s="17">
        <v>10215091</v>
      </c>
      <c r="AA32" s="8"/>
      <c r="AB32" s="8"/>
      <c r="AC32" s="17">
        <v>41877318</v>
      </c>
      <c r="AD32" s="17">
        <v>24160464</v>
      </c>
      <c r="AE32" s="17">
        <v>18957404</v>
      </c>
      <c r="AF32" s="17">
        <v>32059038</v>
      </c>
      <c r="AG32" s="17">
        <v>32911463</v>
      </c>
      <c r="AH32" s="17">
        <v>34291183</v>
      </c>
      <c r="AI32" s="9"/>
    </row>
    <row r="33" spans="2:35" x14ac:dyDescent="0.35">
      <c r="B33" s="10"/>
      <c r="C33" s="15"/>
      <c r="D33" s="16" t="s">
        <v>39</v>
      </c>
      <c r="E33" s="17">
        <v>239856</v>
      </c>
      <c r="F33" s="17">
        <v>122477</v>
      </c>
      <c r="G33" s="17">
        <v>64485</v>
      </c>
      <c r="H33" s="17">
        <v>73598</v>
      </c>
      <c r="I33" s="17">
        <v>74625</v>
      </c>
      <c r="J33" s="17">
        <v>78851</v>
      </c>
      <c r="K33" s="8"/>
      <c r="L33" s="8"/>
      <c r="M33" s="17">
        <v>2603298</v>
      </c>
      <c r="N33" s="17">
        <v>1578539</v>
      </c>
      <c r="O33" s="17">
        <v>1155384</v>
      </c>
      <c r="P33" s="17">
        <v>1596487</v>
      </c>
      <c r="Q33" s="17">
        <v>1750700</v>
      </c>
      <c r="R33" s="17">
        <v>1855737</v>
      </c>
      <c r="S33" s="8"/>
      <c r="T33" s="8"/>
      <c r="U33" s="17">
        <v>9764344</v>
      </c>
      <c r="V33" s="17">
        <v>5394214</v>
      </c>
      <c r="W33" s="17">
        <v>3703766</v>
      </c>
      <c r="X33" s="17">
        <v>9643396</v>
      </c>
      <c r="Y33" s="17">
        <v>9836689</v>
      </c>
      <c r="Z33" s="17">
        <v>10212906</v>
      </c>
      <c r="AA33" s="8"/>
      <c r="AB33" s="8"/>
      <c r="AC33" s="17">
        <v>42091097</v>
      </c>
      <c r="AD33" s="17">
        <v>24073042</v>
      </c>
      <c r="AE33" s="17">
        <v>19304107</v>
      </c>
      <c r="AF33" s="17">
        <v>32267645</v>
      </c>
      <c r="AG33" s="17">
        <v>33148839</v>
      </c>
      <c r="AH33" s="17">
        <v>33932822</v>
      </c>
      <c r="AI33" s="9"/>
    </row>
    <row r="34" spans="2:35" x14ac:dyDescent="0.35">
      <c r="B34" s="10"/>
      <c r="C34" s="15"/>
      <c r="D34" s="16" t="s">
        <v>40</v>
      </c>
      <c r="E34" s="17">
        <v>237377</v>
      </c>
      <c r="F34" s="17">
        <v>127137</v>
      </c>
      <c r="G34" s="17">
        <v>65786</v>
      </c>
      <c r="H34" s="17">
        <v>79101</v>
      </c>
      <c r="I34" s="17">
        <v>75321</v>
      </c>
      <c r="J34" s="17">
        <v>78396</v>
      </c>
      <c r="K34" s="8"/>
      <c r="L34" s="8"/>
      <c r="M34" s="17">
        <v>2654431</v>
      </c>
      <c r="N34" s="17">
        <v>1573277</v>
      </c>
      <c r="O34" s="17">
        <v>1168687</v>
      </c>
      <c r="P34" s="17">
        <v>1600021</v>
      </c>
      <c r="Q34" s="17">
        <v>1710715</v>
      </c>
      <c r="R34" s="17">
        <v>1848261</v>
      </c>
      <c r="S34" s="8"/>
      <c r="T34" s="8"/>
      <c r="U34" s="17">
        <v>9774375</v>
      </c>
      <c r="V34" s="17">
        <v>5502298</v>
      </c>
      <c r="W34" s="17">
        <v>3664131</v>
      </c>
      <c r="X34" s="17">
        <v>9582361</v>
      </c>
      <c r="Y34" s="17">
        <v>9985060</v>
      </c>
      <c r="Z34" s="17">
        <v>10179662</v>
      </c>
      <c r="AA34" s="8"/>
      <c r="AB34" s="8"/>
      <c r="AC34" s="17">
        <v>42000673</v>
      </c>
      <c r="AD34" s="17">
        <v>24228493</v>
      </c>
      <c r="AE34" s="17">
        <v>18295571</v>
      </c>
      <c r="AF34" s="17">
        <v>32092326</v>
      </c>
      <c r="AG34" s="17">
        <v>33247274</v>
      </c>
      <c r="AH34" s="17">
        <v>33801626</v>
      </c>
      <c r="AI34" s="9"/>
    </row>
    <row r="35" spans="2:35" x14ac:dyDescent="0.35">
      <c r="B35" s="10"/>
      <c r="C35" s="19"/>
      <c r="D35" s="20" t="s">
        <v>41</v>
      </c>
      <c r="E35" s="21">
        <f t="array" ref="E35">ROUND(AVERAGE(IF((ISNUMBER(E5:E34))*(E5:E34&lt;LARGE(E5:E34,2))*(E5:E34&gt;SMALL(E5:E34,2)),E5:E34)),0)</f>
        <v>239828</v>
      </c>
      <c r="F35" s="21">
        <f t="array" ref="F35">ROUND(AVERAGE(IF((ISNUMBER(F5:F34))*(F5:F34&lt;LARGE(F5:F34,2))*(F5:F34&gt;SMALL(F5:F34,2)),F5:F34)),0)</f>
        <v>125451</v>
      </c>
      <c r="G35" s="21">
        <f t="array" ref="G35">ROUND(AVERAGE(IF((ISNUMBER(G5:G34))*(G5:G34&lt;LARGE(G5:G34,2))*(G5:G34&gt;SMALL(G5:G34,2)),G5:G34)),0)</f>
        <v>65066</v>
      </c>
      <c r="H35" s="21">
        <f t="array" ref="H35">ROUND(AVERAGE(IF((ISNUMBER(H5:H34))*(H5:H34&lt;LARGE(H5:H34,2))*(H5:H34&gt;SMALL(H5:H34,2)),H5:H34)),0)</f>
        <v>75028</v>
      </c>
      <c r="I35" s="21">
        <f t="array" ref="I35">ROUND(AVERAGE(IF((ISNUMBER(I5:I34))*(I5:I34&lt;LARGE(I5:I34,2))*(I5:I34&gt;SMALL(I5:I34,2)),I5:I34)),0)</f>
        <v>77318</v>
      </c>
      <c r="J35" s="21">
        <f t="array" ref="J35">ROUND(AVERAGE(IF((ISNUMBER(J5:J34))*(J5:J34&lt;LARGE(J5:J34,2))*(J5:J34&gt;SMALL(J5:J34,2)),J5:J34)),0)</f>
        <v>81262</v>
      </c>
      <c r="K35" s="21"/>
      <c r="L35" s="21"/>
      <c r="M35" s="21">
        <f t="array" ref="M35">ROUND(AVERAGE(IF((ISNUMBER(M5:M34))*(M5:M34&lt;LARGE(M5:M34,2))*(M5:M34&gt;SMALL(M5:M34,2)),M5:M34)),0)</f>
        <v>2622380</v>
      </c>
      <c r="N35" s="21">
        <f t="array" ref="N35">ROUND(AVERAGE(IF((ISNUMBER(N5:N34))*(N5:N34&lt;LARGE(N5:N34,2))*(N5:N34&gt;SMALL(N5:N34,2)),N5:N34)),0)</f>
        <v>1567099</v>
      </c>
      <c r="O35" s="21">
        <f t="array" ref="O35">ROUND(AVERAGE(IF((ISNUMBER(O5:O34))*(O5:O34&lt;LARGE(O5:O34,2))*(O5:O34&gt;SMALL(O5:O34,2)),O5:O34)),0)</f>
        <v>1153874</v>
      </c>
      <c r="P35" s="21">
        <f t="array" ref="P35">ROUND(AVERAGE(IF((ISNUMBER(P5:P34))*(P5:P34&lt;LARGE(P5:P34,2))*(P5:P34&gt;SMALL(P5:P34,2)),P5:P34)),0)</f>
        <v>1575495</v>
      </c>
      <c r="Q35" s="21">
        <f t="array" ref="Q35">ROUND(AVERAGE(IF((ISNUMBER(Q5:Q34))*(Q5:Q34&lt;LARGE(Q5:Q34,2))*(Q5:Q34&gt;SMALL(Q5:Q34,2)),Q5:Q34)),0)</f>
        <v>1731712</v>
      </c>
      <c r="R35" s="21">
        <f t="array" ref="R35">ROUND(AVERAGE(IF((ISNUMBER(R5:R34))*(R5:R34&lt;LARGE(R5:R34,2))*(R5:R34&gt;SMALL(R5:R34,2)),R5:R34)),0)</f>
        <v>1841905</v>
      </c>
      <c r="S35" s="21"/>
      <c r="T35" s="21"/>
      <c r="U35" s="21">
        <f t="array" ref="U35">ROUND(AVERAGE(IF((ISNUMBER(U5:U34))*(U5:U34&lt;LARGE(U5:U34,2))*(U5:U34&gt;SMALL(U5:U34,2)),U5:U34)),0)</f>
        <v>9769152</v>
      </c>
      <c r="V35" s="21">
        <f t="array" ref="V35">ROUND(AVERAGE(IF((ISNUMBER(V5:V34))*(V5:V34&lt;LARGE(V5:V34,2))*(V5:V34&gt;SMALL(V5:V34,2)),V5:V34)),0)</f>
        <v>5421139</v>
      </c>
      <c r="W35" s="21">
        <f t="array" ref="W35">ROUND(AVERAGE(IF((ISNUMBER(W5:W34))*(W5:W34&lt;LARGE(W5:W34,2))*(W5:W34&gt;SMALL(W5:W34,2)),W5:W34)),0)</f>
        <v>3695311</v>
      </c>
      <c r="X35" s="21">
        <f t="array" ref="X35">ROUND(AVERAGE(IF((ISNUMBER(X5:X34))*(X5:X34&lt;LARGE(X5:X34,2))*(X5:X34&gt;SMALL(X5:X34,2)),X5:X34)),0)</f>
        <v>9645758</v>
      </c>
      <c r="Y35" s="21">
        <f t="array" ref="Y35">ROUND(AVERAGE(IF((ISNUMBER(Y5:Y34))*(Y5:Y34&lt;LARGE(Y5:Y34,2))*(Y5:Y34&gt;SMALL(Y5:Y34,2)),Y5:Y34)),0)</f>
        <v>9886064</v>
      </c>
      <c r="Z35" s="21">
        <f t="array" ref="Z35">ROUND(AVERAGE(IF((ISNUMBER(Z5:Z34))*(Z5:Z34&lt;LARGE(Z5:Z34,2))*(Z5:Z34&gt;SMALL(Z5:Z34,2)),Z5:Z34)),0)</f>
        <v>10189095</v>
      </c>
      <c r="AA35" s="21"/>
      <c r="AB35" s="21"/>
      <c r="AC35" s="21">
        <f t="array" ref="AC35">ROUND(AVERAGE(IF((ISNUMBER(AC5:AC34))*(AC5:AC34&lt;LARGE(AC5:AC34,2))*(AC5:AC34&gt;SMALL(AC5:AC34,2)),AC5:AC34)),0)</f>
        <v>41982408</v>
      </c>
      <c r="AD35" s="21">
        <f t="array" ref="AD35">ROUND(AVERAGE(IF((ISNUMBER(AD5:AD34))*(AD5:AD34&lt;LARGE(AD5:AD34,2))*(AD5:AD34&gt;SMALL(AD5:AD34,2)),AD5:AD34)),0)</f>
        <v>24126502</v>
      </c>
      <c r="AE35" s="21">
        <f t="array" ref="AE35">ROUND(AVERAGE(IF((ISNUMBER(AE5:AE34))*(AE5:AE34&lt;LARGE(AE5:AE34,2))*(AE5:AE34&gt;SMALL(AE5:AE34,2)),AE5:AE34)),0)</f>
        <v>18945960</v>
      </c>
      <c r="AF35" s="21">
        <f t="array" ref="AF35">ROUND(AVERAGE(IF((ISNUMBER(AF5:AF34))*(AF5:AF34&lt;LARGE(AF5:AF34,2))*(AF5:AF34&gt;SMALL(AF5:AF34,2)),AF5:AF34)),0)</f>
        <v>32021994</v>
      </c>
      <c r="AG35" s="21">
        <f t="array" ref="AG35">ROUND(AVERAGE(IF((ISNUMBER(AG5:AG34))*(AG5:AG34&lt;LARGE(AG5:AG34,2))*(AG5:AG34&gt;SMALL(AG5:AG34,2)),AG5:AG34)),0)</f>
        <v>32945475</v>
      </c>
      <c r="AH35" s="22">
        <f t="array" ref="AH35">ROUND(AVERAGE(IF((ISNUMBER(AH5:AH34))*(AH5:AH34&lt;LARGE(AH5:AH34,2))*(AH5:AH34&gt;SMALL(AH5:AH34,2)),AH5:AH34)),0)</f>
        <v>33727054</v>
      </c>
      <c r="AI35" s="9"/>
    </row>
    <row r="36" spans="2:35" x14ac:dyDescent="0.35">
      <c r="B36" s="23"/>
      <c r="C36" s="24"/>
      <c r="D36" s="25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6"/>
    </row>
    <row r="37" spans="2:35" x14ac:dyDescent="0.35">
      <c r="B37" s="67"/>
      <c r="C37" s="44"/>
      <c r="D37" s="68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spans="2:35" ht="37" x14ac:dyDescent="0.85">
      <c r="B38" s="2" t="s">
        <v>42</v>
      </c>
      <c r="C38" s="3"/>
      <c r="D38" s="27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5"/>
    </row>
    <row r="39" spans="2:35" x14ac:dyDescent="0.35">
      <c r="B39" s="6"/>
      <c r="C39" s="7"/>
      <c r="D39" s="2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9"/>
    </row>
    <row r="40" spans="2:35" x14ac:dyDescent="0.35">
      <c r="B40" s="10"/>
      <c r="C40" s="11" t="s">
        <v>1</v>
      </c>
      <c r="D40" s="12"/>
      <c r="E40" s="12" t="s">
        <v>2</v>
      </c>
      <c r="F40" s="12" t="s">
        <v>3</v>
      </c>
      <c r="G40" s="12" t="s">
        <v>4</v>
      </c>
      <c r="H40" s="12" t="s">
        <v>5</v>
      </c>
      <c r="I40" s="12" t="s">
        <v>6</v>
      </c>
      <c r="J40" s="12" t="s">
        <v>7</v>
      </c>
      <c r="K40" s="13" t="s">
        <v>8</v>
      </c>
      <c r="L40" s="13"/>
      <c r="M40" s="12" t="s">
        <v>2</v>
      </c>
      <c r="N40" s="12" t="s">
        <v>3</v>
      </c>
      <c r="O40" s="12" t="s">
        <v>4</v>
      </c>
      <c r="P40" s="12" t="s">
        <v>5</v>
      </c>
      <c r="Q40" s="12" t="s">
        <v>6</v>
      </c>
      <c r="R40" s="12" t="s">
        <v>7</v>
      </c>
      <c r="S40" s="13" t="s">
        <v>43</v>
      </c>
      <c r="T40" s="13"/>
      <c r="U40" s="12" t="s">
        <v>2</v>
      </c>
      <c r="V40" s="12" t="s">
        <v>3</v>
      </c>
      <c r="W40" s="12" t="s">
        <v>4</v>
      </c>
      <c r="X40" s="12" t="s">
        <v>5</v>
      </c>
      <c r="Y40" s="12" t="s">
        <v>6</v>
      </c>
      <c r="Z40" s="12" t="s">
        <v>7</v>
      </c>
      <c r="AA40" s="13" t="s">
        <v>10</v>
      </c>
      <c r="AB40" s="13"/>
      <c r="AC40" s="12" t="s">
        <v>2</v>
      </c>
      <c r="AD40" s="12" t="s">
        <v>3</v>
      </c>
      <c r="AE40" s="12" t="s">
        <v>4</v>
      </c>
      <c r="AF40" s="12" t="s">
        <v>5</v>
      </c>
      <c r="AG40" s="12" t="s">
        <v>6</v>
      </c>
      <c r="AH40" s="14" t="s">
        <v>7</v>
      </c>
      <c r="AI40" s="9"/>
    </row>
    <row r="41" spans="2:35" x14ac:dyDescent="0.35">
      <c r="B41" s="10"/>
      <c r="C41" s="15"/>
      <c r="D41" s="16" t="s">
        <v>11</v>
      </c>
      <c r="E41" s="17">
        <v>225694</v>
      </c>
      <c r="F41" s="17">
        <v>123401</v>
      </c>
      <c r="G41" s="17">
        <v>64005</v>
      </c>
      <c r="H41" s="17">
        <v>35718</v>
      </c>
      <c r="I41" s="17">
        <v>43218</v>
      </c>
      <c r="J41" s="17">
        <v>50661</v>
      </c>
      <c r="K41" s="8"/>
      <c r="L41" s="8"/>
      <c r="M41" s="17">
        <v>1949479</v>
      </c>
      <c r="N41" s="17">
        <v>1047941</v>
      </c>
      <c r="O41" s="17">
        <v>563549</v>
      </c>
      <c r="P41" s="17">
        <v>402866</v>
      </c>
      <c r="Q41" s="17">
        <v>444735</v>
      </c>
      <c r="R41" s="17">
        <v>498076</v>
      </c>
      <c r="S41" s="8"/>
      <c r="T41" s="8"/>
      <c r="U41" s="17">
        <v>6630939</v>
      </c>
      <c r="V41" s="17">
        <v>3455920</v>
      </c>
      <c r="W41" s="17">
        <v>2242711</v>
      </c>
      <c r="X41" s="17">
        <v>1339302</v>
      </c>
      <c r="Y41" s="17">
        <v>1893196</v>
      </c>
      <c r="Z41" s="17">
        <v>2060647</v>
      </c>
      <c r="AA41" s="8"/>
      <c r="AB41" s="8"/>
      <c r="AC41" s="17">
        <v>15468067</v>
      </c>
      <c r="AD41" s="17">
        <v>8470410</v>
      </c>
      <c r="AE41" s="17">
        <v>5256840</v>
      </c>
      <c r="AF41" s="17">
        <v>3937534</v>
      </c>
      <c r="AG41" s="17">
        <v>5016634</v>
      </c>
      <c r="AH41" s="17">
        <v>5244549</v>
      </c>
      <c r="AI41" s="9"/>
    </row>
    <row r="42" spans="2:35" x14ac:dyDescent="0.35">
      <c r="B42" s="10"/>
      <c r="C42" s="15"/>
      <c r="D42" s="16" t="s">
        <v>12</v>
      </c>
      <c r="E42" s="17">
        <v>227194</v>
      </c>
      <c r="F42" s="17">
        <v>117460</v>
      </c>
      <c r="G42" s="17">
        <v>63763</v>
      </c>
      <c r="H42" s="17">
        <v>41739</v>
      </c>
      <c r="I42" s="17">
        <v>47758</v>
      </c>
      <c r="J42" s="17">
        <v>49068</v>
      </c>
      <c r="K42" s="8"/>
      <c r="L42" s="8"/>
      <c r="M42" s="17">
        <v>1900037</v>
      </c>
      <c r="N42" s="17">
        <v>999528</v>
      </c>
      <c r="O42" s="17">
        <v>551036</v>
      </c>
      <c r="P42" s="17">
        <v>390385</v>
      </c>
      <c r="Q42" s="17">
        <v>446435</v>
      </c>
      <c r="R42" s="17">
        <v>494277</v>
      </c>
      <c r="S42" s="8"/>
      <c r="T42" s="8"/>
      <c r="U42" s="17">
        <v>6523476</v>
      </c>
      <c r="V42" s="17">
        <v>3529127</v>
      </c>
      <c r="W42" s="17">
        <v>2247569</v>
      </c>
      <c r="X42" s="17">
        <v>1327554</v>
      </c>
      <c r="Y42" s="17">
        <v>1836493</v>
      </c>
      <c r="Z42" s="17">
        <v>2015215</v>
      </c>
      <c r="AA42" s="8"/>
      <c r="AB42" s="8"/>
      <c r="AC42" s="17">
        <v>15479403</v>
      </c>
      <c r="AD42" s="17">
        <v>8316692</v>
      </c>
      <c r="AE42" s="17">
        <v>5320416</v>
      </c>
      <c r="AF42" s="17">
        <v>3906521</v>
      </c>
      <c r="AG42" s="17">
        <v>4923306</v>
      </c>
      <c r="AH42" s="17">
        <v>5264214</v>
      </c>
      <c r="AI42" s="9"/>
    </row>
    <row r="43" spans="2:35" x14ac:dyDescent="0.35">
      <c r="B43" s="10"/>
      <c r="C43" s="15"/>
      <c r="D43" s="16" t="s">
        <v>13</v>
      </c>
      <c r="E43" s="17">
        <v>229014</v>
      </c>
      <c r="F43" s="17">
        <v>121937</v>
      </c>
      <c r="G43" s="17">
        <v>63446</v>
      </c>
      <c r="H43" s="17">
        <v>36353</v>
      </c>
      <c r="I43" s="17">
        <v>42219</v>
      </c>
      <c r="J43" s="17">
        <v>50031</v>
      </c>
      <c r="K43" s="8"/>
      <c r="L43" s="8"/>
      <c r="M43" s="17">
        <v>1901012</v>
      </c>
      <c r="N43" s="17">
        <v>1049500</v>
      </c>
      <c r="O43" s="17">
        <v>568706</v>
      </c>
      <c r="P43" s="17">
        <v>420609</v>
      </c>
      <c r="Q43" s="17">
        <v>455459</v>
      </c>
      <c r="R43" s="17">
        <v>490426</v>
      </c>
      <c r="S43" s="8"/>
      <c r="T43" s="8"/>
      <c r="U43" s="17">
        <v>6501057</v>
      </c>
      <c r="V43" s="17">
        <v>3447646</v>
      </c>
      <c r="W43" s="17">
        <v>2298415</v>
      </c>
      <c r="X43" s="17">
        <v>1492227</v>
      </c>
      <c r="Y43" s="17">
        <v>1935129</v>
      </c>
      <c r="Z43" s="17">
        <v>2073066</v>
      </c>
      <c r="AA43" s="8"/>
      <c r="AB43" s="8"/>
      <c r="AC43" s="17">
        <v>15469243</v>
      </c>
      <c r="AD43" s="17">
        <v>8440531</v>
      </c>
      <c r="AE43" s="17">
        <v>5398163</v>
      </c>
      <c r="AF43" s="17">
        <v>4076190</v>
      </c>
      <c r="AG43" s="17">
        <v>4989595</v>
      </c>
      <c r="AH43" s="17">
        <v>5228908</v>
      </c>
      <c r="AI43" s="9"/>
    </row>
    <row r="44" spans="2:35" x14ac:dyDescent="0.35">
      <c r="B44" s="10"/>
      <c r="C44" s="15"/>
      <c r="D44" s="16" t="s">
        <v>14</v>
      </c>
      <c r="E44" s="17">
        <v>224247</v>
      </c>
      <c r="F44" s="17">
        <v>122478</v>
      </c>
      <c r="G44" s="17">
        <v>63402</v>
      </c>
      <c r="H44" s="17">
        <v>36340</v>
      </c>
      <c r="I44" s="17">
        <v>41652</v>
      </c>
      <c r="J44" s="17">
        <v>51138</v>
      </c>
      <c r="K44" s="8"/>
      <c r="L44" s="8"/>
      <c r="M44" s="17">
        <v>1904884</v>
      </c>
      <c r="N44" s="17">
        <v>1030122</v>
      </c>
      <c r="O44" s="17">
        <v>577774</v>
      </c>
      <c r="P44" s="17">
        <v>383431</v>
      </c>
      <c r="Q44" s="17">
        <v>457830</v>
      </c>
      <c r="R44" s="17">
        <v>510967</v>
      </c>
      <c r="S44" s="8"/>
      <c r="T44" s="8"/>
      <c r="U44" s="17">
        <v>6507245</v>
      </c>
      <c r="V44" s="17">
        <v>3544433</v>
      </c>
      <c r="W44" s="17">
        <v>2241188</v>
      </c>
      <c r="X44" s="17">
        <v>1373948</v>
      </c>
      <c r="Y44" s="17">
        <v>1919234</v>
      </c>
      <c r="Z44" s="17">
        <v>2075820</v>
      </c>
      <c r="AA44" s="8"/>
      <c r="AB44" s="8"/>
      <c r="AC44" s="17">
        <v>15461564</v>
      </c>
      <c r="AD44" s="17">
        <v>8501476</v>
      </c>
      <c r="AE44" s="17">
        <v>5346927</v>
      </c>
      <c r="AF44" s="17">
        <v>3705327</v>
      </c>
      <c r="AG44" s="17">
        <v>5021724</v>
      </c>
      <c r="AH44" s="17">
        <v>5172511</v>
      </c>
      <c r="AI44" s="9"/>
    </row>
    <row r="45" spans="2:35" x14ac:dyDescent="0.35">
      <c r="B45" s="10"/>
      <c r="C45" s="15"/>
      <c r="D45" s="16" t="s">
        <v>15</v>
      </c>
      <c r="E45" s="17">
        <v>223711</v>
      </c>
      <c r="F45" s="17">
        <v>121762</v>
      </c>
      <c r="G45" s="17">
        <v>64615</v>
      </c>
      <c r="H45" s="17">
        <v>38551</v>
      </c>
      <c r="I45" s="17">
        <v>46612</v>
      </c>
      <c r="J45" s="17">
        <v>45051</v>
      </c>
      <c r="K45" s="8"/>
      <c r="L45" s="8"/>
      <c r="M45" s="17">
        <v>1901849</v>
      </c>
      <c r="N45" s="17">
        <v>1038452</v>
      </c>
      <c r="O45" s="17">
        <v>671327</v>
      </c>
      <c r="P45" s="17">
        <v>433372</v>
      </c>
      <c r="Q45" s="17">
        <v>449384</v>
      </c>
      <c r="R45" s="17">
        <v>502951</v>
      </c>
      <c r="S45" s="8"/>
      <c r="T45" s="8"/>
      <c r="U45" s="17">
        <v>6504290</v>
      </c>
      <c r="V45" s="17">
        <v>3475342</v>
      </c>
      <c r="W45" s="17">
        <v>2235030</v>
      </c>
      <c r="X45" s="17">
        <v>1463740</v>
      </c>
      <c r="Y45" s="17">
        <v>1892324</v>
      </c>
      <c r="Z45" s="17">
        <v>2100601</v>
      </c>
      <c r="AA45" s="8"/>
      <c r="AB45" s="8"/>
      <c r="AC45" s="17">
        <v>15467416</v>
      </c>
      <c r="AD45" s="17">
        <v>8412069</v>
      </c>
      <c r="AE45" s="17">
        <v>5367581</v>
      </c>
      <c r="AF45" s="17">
        <v>3750850</v>
      </c>
      <c r="AG45" s="17">
        <v>5053494</v>
      </c>
      <c r="AH45" s="17">
        <v>5237704</v>
      </c>
      <c r="AI45" s="9"/>
    </row>
    <row r="46" spans="2:35" x14ac:dyDescent="0.35">
      <c r="B46" s="10"/>
      <c r="C46" s="15"/>
      <c r="D46" s="16" t="s">
        <v>16</v>
      </c>
      <c r="E46" s="17">
        <v>227188</v>
      </c>
      <c r="F46" s="17">
        <v>122913</v>
      </c>
      <c r="G46" s="17">
        <v>63603</v>
      </c>
      <c r="H46" s="17">
        <v>35755</v>
      </c>
      <c r="I46" s="17">
        <v>44088</v>
      </c>
      <c r="J46" s="17">
        <v>47584</v>
      </c>
      <c r="K46" s="8"/>
      <c r="L46" s="8"/>
      <c r="M46" s="17">
        <v>1901398</v>
      </c>
      <c r="N46" s="17">
        <v>1043377</v>
      </c>
      <c r="O46" s="17">
        <v>673131</v>
      </c>
      <c r="P46" s="17">
        <v>394916</v>
      </c>
      <c r="Q46" s="17">
        <v>459829</v>
      </c>
      <c r="R46" s="17">
        <v>484631</v>
      </c>
      <c r="S46" s="8"/>
      <c r="T46" s="8"/>
      <c r="U46" s="17">
        <v>7000158</v>
      </c>
      <c r="V46" s="17">
        <v>3416295</v>
      </c>
      <c r="W46" s="17">
        <v>2234005</v>
      </c>
      <c r="X46" s="17">
        <v>1325569</v>
      </c>
      <c r="Y46" s="17">
        <v>1936738</v>
      </c>
      <c r="Z46" s="17">
        <v>2056120</v>
      </c>
      <c r="AA46" s="8"/>
      <c r="AB46" s="8"/>
      <c r="AC46" s="17">
        <v>15465373</v>
      </c>
      <c r="AD46" s="17">
        <v>8250529</v>
      </c>
      <c r="AE46" s="17">
        <v>5291841</v>
      </c>
      <c r="AF46" s="17">
        <v>3979877</v>
      </c>
      <c r="AG46" s="17">
        <v>5056733</v>
      </c>
      <c r="AH46" s="17">
        <v>5210937</v>
      </c>
      <c r="AI46" s="9"/>
    </row>
    <row r="47" spans="2:35" x14ac:dyDescent="0.35">
      <c r="B47" s="10"/>
      <c r="C47" s="15"/>
      <c r="D47" s="16" t="s">
        <v>17</v>
      </c>
      <c r="E47" s="17">
        <v>224573</v>
      </c>
      <c r="F47" s="17">
        <v>115528</v>
      </c>
      <c r="G47" s="17">
        <v>64719</v>
      </c>
      <c r="H47" s="17">
        <v>35781</v>
      </c>
      <c r="I47" s="17">
        <v>46596</v>
      </c>
      <c r="J47" s="17">
        <v>45488</v>
      </c>
      <c r="K47" s="8"/>
      <c r="L47" s="8"/>
      <c r="M47" s="17">
        <v>1899588</v>
      </c>
      <c r="N47" s="17">
        <v>984359</v>
      </c>
      <c r="O47" s="17">
        <v>661311</v>
      </c>
      <c r="P47" s="17">
        <v>405743</v>
      </c>
      <c r="Q47" s="17">
        <v>453906</v>
      </c>
      <c r="R47" s="17">
        <v>490282</v>
      </c>
      <c r="S47" s="8"/>
      <c r="T47" s="8"/>
      <c r="U47" s="17">
        <v>6936180</v>
      </c>
      <c r="V47" s="17">
        <v>3551716</v>
      </c>
      <c r="W47" s="17">
        <v>2312547</v>
      </c>
      <c r="X47" s="17">
        <v>1346099</v>
      </c>
      <c r="Y47" s="17">
        <v>1808892</v>
      </c>
      <c r="Z47" s="17">
        <v>2345230</v>
      </c>
      <c r="AA47" s="8"/>
      <c r="AB47" s="8"/>
      <c r="AC47" s="17">
        <v>15454218</v>
      </c>
      <c r="AD47" s="17">
        <v>8464002</v>
      </c>
      <c r="AE47" s="17">
        <v>5347541</v>
      </c>
      <c r="AF47" s="17">
        <v>3668965</v>
      </c>
      <c r="AG47" s="17">
        <v>5040224</v>
      </c>
      <c r="AH47" s="17">
        <v>5162979</v>
      </c>
      <c r="AI47" s="9"/>
    </row>
    <row r="48" spans="2:35" x14ac:dyDescent="0.35">
      <c r="B48" s="10"/>
      <c r="C48" s="15"/>
      <c r="D48" s="16" t="s">
        <v>18</v>
      </c>
      <c r="E48" s="17">
        <v>224220</v>
      </c>
      <c r="F48" s="17">
        <v>122888</v>
      </c>
      <c r="G48" s="17">
        <v>63694</v>
      </c>
      <c r="H48" s="17">
        <v>38288</v>
      </c>
      <c r="I48" s="17">
        <v>46287</v>
      </c>
      <c r="J48" s="17">
        <v>46108</v>
      </c>
      <c r="K48" s="8"/>
      <c r="L48" s="8"/>
      <c r="M48" s="17">
        <v>1900617</v>
      </c>
      <c r="N48" s="17">
        <v>1036722</v>
      </c>
      <c r="O48" s="17">
        <v>667345</v>
      </c>
      <c r="P48" s="17">
        <v>396937</v>
      </c>
      <c r="Q48" s="17">
        <v>457253</v>
      </c>
      <c r="R48" s="17">
        <v>539712</v>
      </c>
      <c r="S48" s="8"/>
      <c r="T48" s="8"/>
      <c r="U48" s="17">
        <v>6685746</v>
      </c>
      <c r="V48" s="17">
        <v>3541070</v>
      </c>
      <c r="W48" s="17">
        <v>2253787</v>
      </c>
      <c r="X48" s="17">
        <v>1349689</v>
      </c>
      <c r="Y48" s="17">
        <v>1921988</v>
      </c>
      <c r="Z48" s="17">
        <v>2440592</v>
      </c>
      <c r="AA48" s="8"/>
      <c r="AB48" s="8"/>
      <c r="AC48" s="17">
        <v>15469279</v>
      </c>
      <c r="AD48" s="17">
        <v>8431937</v>
      </c>
      <c r="AE48" s="17">
        <v>5239493</v>
      </c>
      <c r="AF48" s="17">
        <v>3715965</v>
      </c>
      <c r="AG48" s="17">
        <v>5007910</v>
      </c>
      <c r="AH48" s="17">
        <v>5255509</v>
      </c>
      <c r="AI48" s="9"/>
    </row>
    <row r="49" spans="2:35" x14ac:dyDescent="0.35">
      <c r="B49" s="10"/>
      <c r="C49" s="15"/>
      <c r="D49" s="16" t="s">
        <v>19</v>
      </c>
      <c r="E49" s="17">
        <v>224724</v>
      </c>
      <c r="F49" s="17">
        <v>122686</v>
      </c>
      <c r="G49" s="17">
        <v>63755</v>
      </c>
      <c r="H49" s="17">
        <v>36032</v>
      </c>
      <c r="I49" s="17">
        <v>46561</v>
      </c>
      <c r="J49" s="17">
        <v>45950</v>
      </c>
      <c r="K49" s="8"/>
      <c r="L49" s="8"/>
      <c r="M49" s="17">
        <v>1900816</v>
      </c>
      <c r="N49" s="17">
        <v>983866</v>
      </c>
      <c r="O49" s="17">
        <v>668448</v>
      </c>
      <c r="P49" s="17">
        <v>398432</v>
      </c>
      <c r="Q49" s="17">
        <v>458109</v>
      </c>
      <c r="R49" s="17">
        <v>507063</v>
      </c>
      <c r="S49" s="8"/>
      <c r="T49" s="8"/>
      <c r="U49" s="17">
        <v>6499920</v>
      </c>
      <c r="V49" s="17">
        <v>3528300</v>
      </c>
      <c r="W49" s="17">
        <v>2251628</v>
      </c>
      <c r="X49" s="17">
        <v>1508893</v>
      </c>
      <c r="Y49" s="17">
        <v>1895455</v>
      </c>
      <c r="Z49" s="17">
        <v>2406985</v>
      </c>
      <c r="AA49" s="8"/>
      <c r="AB49" s="8"/>
      <c r="AC49" s="17">
        <v>15494222</v>
      </c>
      <c r="AD49" s="17">
        <v>8389310</v>
      </c>
      <c r="AE49" s="17">
        <v>5333515</v>
      </c>
      <c r="AF49" s="17">
        <v>3818136</v>
      </c>
      <c r="AG49" s="17">
        <v>4982548</v>
      </c>
      <c r="AH49" s="17">
        <v>5241485</v>
      </c>
      <c r="AI49" s="9"/>
    </row>
    <row r="50" spans="2:35" x14ac:dyDescent="0.35">
      <c r="B50" s="10"/>
      <c r="C50" s="15"/>
      <c r="D50" s="16" t="s">
        <v>20</v>
      </c>
      <c r="E50" s="17">
        <v>228381</v>
      </c>
      <c r="F50" s="17">
        <v>118286</v>
      </c>
      <c r="G50" s="17">
        <v>63423</v>
      </c>
      <c r="H50" s="17">
        <v>35749</v>
      </c>
      <c r="I50" s="17">
        <v>41361</v>
      </c>
      <c r="J50" s="17">
        <v>46067</v>
      </c>
      <c r="K50" s="8"/>
      <c r="L50" s="8"/>
      <c r="M50" s="17">
        <v>1894852</v>
      </c>
      <c r="N50" s="17">
        <v>1039747</v>
      </c>
      <c r="O50" s="17">
        <v>666704</v>
      </c>
      <c r="P50" s="17">
        <v>393380</v>
      </c>
      <c r="Q50" s="17">
        <v>450455</v>
      </c>
      <c r="R50" s="17">
        <v>483755</v>
      </c>
      <c r="S50" s="8"/>
      <c r="T50" s="8"/>
      <c r="U50" s="17">
        <v>6491952</v>
      </c>
      <c r="V50" s="17">
        <v>3527510</v>
      </c>
      <c r="W50" s="17">
        <v>2239729</v>
      </c>
      <c r="X50" s="17">
        <v>1451496</v>
      </c>
      <c r="Y50" s="17">
        <v>1871734</v>
      </c>
      <c r="Z50" s="17">
        <v>2429961</v>
      </c>
      <c r="AA50" s="8"/>
      <c r="AB50" s="8"/>
      <c r="AC50" s="17">
        <v>15461451</v>
      </c>
      <c r="AD50" s="17">
        <v>8409756</v>
      </c>
      <c r="AE50" s="17">
        <v>5382566</v>
      </c>
      <c r="AF50" s="17">
        <v>3794256</v>
      </c>
      <c r="AG50" s="17">
        <v>5076548</v>
      </c>
      <c r="AH50" s="17">
        <v>5231639</v>
      </c>
      <c r="AI50" s="9"/>
    </row>
    <row r="51" spans="2:35" x14ac:dyDescent="0.35">
      <c r="B51" s="10"/>
      <c r="C51" s="15"/>
      <c r="D51" s="16" t="s">
        <v>21</v>
      </c>
      <c r="E51" s="17">
        <v>225689</v>
      </c>
      <c r="F51" s="17">
        <v>121659</v>
      </c>
      <c r="G51" s="17">
        <v>63932</v>
      </c>
      <c r="H51" s="17">
        <v>39822</v>
      </c>
      <c r="I51" s="17">
        <v>41117</v>
      </c>
      <c r="J51" s="17">
        <v>48742</v>
      </c>
      <c r="K51" s="8"/>
      <c r="L51" s="8"/>
      <c r="M51" s="17">
        <v>1902741</v>
      </c>
      <c r="N51" s="17">
        <v>1031200</v>
      </c>
      <c r="O51" s="17">
        <v>664050</v>
      </c>
      <c r="P51" s="17">
        <v>407399</v>
      </c>
      <c r="Q51" s="17">
        <v>453071</v>
      </c>
      <c r="R51" s="17">
        <v>506728</v>
      </c>
      <c r="S51" s="8"/>
      <c r="T51" s="8"/>
      <c r="U51" s="17">
        <v>6503288</v>
      </c>
      <c r="V51" s="17">
        <v>3449732</v>
      </c>
      <c r="W51" s="17">
        <v>2281934</v>
      </c>
      <c r="X51" s="17">
        <v>1290212</v>
      </c>
      <c r="Y51" s="17">
        <v>1937805</v>
      </c>
      <c r="Z51" s="17">
        <v>2583603</v>
      </c>
      <c r="AA51" s="8"/>
      <c r="AB51" s="8"/>
      <c r="AC51" s="17">
        <v>15472121</v>
      </c>
      <c r="AD51" s="17">
        <v>8374386</v>
      </c>
      <c r="AE51" s="17">
        <v>5298643</v>
      </c>
      <c r="AF51" s="17">
        <v>3610102</v>
      </c>
      <c r="AG51" s="17">
        <v>5039548</v>
      </c>
      <c r="AH51" s="17">
        <v>5228989</v>
      </c>
      <c r="AI51" s="9"/>
    </row>
    <row r="52" spans="2:35" x14ac:dyDescent="0.35">
      <c r="B52" s="10"/>
      <c r="C52" s="15"/>
      <c r="D52" s="16" t="s">
        <v>22</v>
      </c>
      <c r="E52" s="17">
        <v>226541</v>
      </c>
      <c r="F52" s="17">
        <v>116875</v>
      </c>
      <c r="G52" s="17">
        <v>64181</v>
      </c>
      <c r="H52" s="17">
        <v>36069</v>
      </c>
      <c r="I52" s="17">
        <v>44405</v>
      </c>
      <c r="J52" s="17">
        <v>51731</v>
      </c>
      <c r="K52" s="8"/>
      <c r="L52" s="8"/>
      <c r="M52" s="17">
        <v>1903877</v>
      </c>
      <c r="N52" s="17">
        <v>1033981</v>
      </c>
      <c r="O52" s="17">
        <v>662044</v>
      </c>
      <c r="P52" s="17">
        <v>406473</v>
      </c>
      <c r="Q52" s="17">
        <v>478023</v>
      </c>
      <c r="R52" s="17">
        <v>502813</v>
      </c>
      <c r="S52" s="8"/>
      <c r="T52" s="8"/>
      <c r="U52" s="17">
        <v>6509011</v>
      </c>
      <c r="V52" s="17">
        <v>3510761</v>
      </c>
      <c r="W52" s="17">
        <v>2236519</v>
      </c>
      <c r="X52" s="17">
        <v>1414223</v>
      </c>
      <c r="Y52" s="17">
        <v>1840470</v>
      </c>
      <c r="Z52" s="17">
        <v>2472153</v>
      </c>
      <c r="AA52" s="8"/>
      <c r="AB52" s="8"/>
      <c r="AC52" s="17">
        <v>15505913</v>
      </c>
      <c r="AD52" s="17">
        <v>8190922</v>
      </c>
      <c r="AE52" s="17">
        <v>5310972</v>
      </c>
      <c r="AF52" s="17">
        <v>3772563</v>
      </c>
      <c r="AG52" s="17">
        <v>4974673</v>
      </c>
      <c r="AH52" s="17">
        <v>5209454</v>
      </c>
      <c r="AI52" s="9"/>
    </row>
    <row r="53" spans="2:35" x14ac:dyDescent="0.35">
      <c r="B53" s="10"/>
      <c r="C53" s="15"/>
      <c r="D53" s="16" t="s">
        <v>23</v>
      </c>
      <c r="E53" s="17">
        <v>226710</v>
      </c>
      <c r="F53" s="17">
        <v>116726</v>
      </c>
      <c r="G53" s="17">
        <v>64237</v>
      </c>
      <c r="H53" s="17">
        <v>35552</v>
      </c>
      <c r="I53" s="17">
        <v>47026</v>
      </c>
      <c r="J53" s="17">
        <v>44779</v>
      </c>
      <c r="K53" s="8"/>
      <c r="L53" s="8"/>
      <c r="M53" s="17">
        <v>1906192</v>
      </c>
      <c r="N53" s="17">
        <v>1034388</v>
      </c>
      <c r="O53" s="17">
        <v>665108</v>
      </c>
      <c r="P53" s="17">
        <v>385858</v>
      </c>
      <c r="Q53" s="17">
        <v>457627</v>
      </c>
      <c r="R53" s="17">
        <v>501830</v>
      </c>
      <c r="S53" s="8"/>
      <c r="T53" s="8"/>
      <c r="U53" s="17">
        <v>6505702</v>
      </c>
      <c r="V53" s="17">
        <v>3508305</v>
      </c>
      <c r="W53" s="17">
        <v>2219556</v>
      </c>
      <c r="X53" s="17">
        <v>1357778</v>
      </c>
      <c r="Y53" s="17">
        <v>1893055</v>
      </c>
      <c r="Z53" s="17">
        <v>2327358</v>
      </c>
      <c r="AA53" s="8"/>
      <c r="AB53" s="8"/>
      <c r="AC53" s="17">
        <v>15443055</v>
      </c>
      <c r="AD53" s="17">
        <v>8461157</v>
      </c>
      <c r="AE53" s="17">
        <v>5374940</v>
      </c>
      <c r="AF53" s="17">
        <v>3666513</v>
      </c>
      <c r="AG53" s="17">
        <v>5053341</v>
      </c>
      <c r="AH53" s="17">
        <v>5197629</v>
      </c>
      <c r="AI53" s="9"/>
    </row>
    <row r="54" spans="2:35" x14ac:dyDescent="0.35">
      <c r="B54" s="10"/>
      <c r="C54" s="15"/>
      <c r="D54" s="16" t="s">
        <v>24</v>
      </c>
      <c r="E54" s="17">
        <v>229018</v>
      </c>
      <c r="F54" s="17">
        <v>117938</v>
      </c>
      <c r="G54" s="17">
        <v>63524</v>
      </c>
      <c r="H54" s="17">
        <v>39237</v>
      </c>
      <c r="I54" s="17">
        <v>45692</v>
      </c>
      <c r="J54" s="17">
        <v>49208</v>
      </c>
      <c r="K54" s="8"/>
      <c r="L54" s="8"/>
      <c r="M54" s="17">
        <v>1903085</v>
      </c>
      <c r="N54" s="17">
        <v>1031844</v>
      </c>
      <c r="O54" s="17">
        <v>669497</v>
      </c>
      <c r="P54" s="17">
        <v>379199</v>
      </c>
      <c r="Q54" s="17">
        <v>454120</v>
      </c>
      <c r="R54" s="17">
        <v>511621</v>
      </c>
      <c r="S54" s="8"/>
      <c r="T54" s="8"/>
      <c r="U54" s="17">
        <v>6519063</v>
      </c>
      <c r="V54" s="17">
        <v>3541605</v>
      </c>
      <c r="W54" s="17">
        <v>2256550</v>
      </c>
      <c r="X54" s="17">
        <v>1368238</v>
      </c>
      <c r="Y54" s="17">
        <v>1964811</v>
      </c>
      <c r="Z54" s="17">
        <v>2045143</v>
      </c>
      <c r="AA54" s="8"/>
      <c r="AB54" s="8"/>
      <c r="AC54" s="17">
        <v>15465485</v>
      </c>
      <c r="AD54" s="17">
        <v>8150084</v>
      </c>
      <c r="AE54" s="17">
        <v>5330387</v>
      </c>
      <c r="AF54" s="17">
        <v>3855060</v>
      </c>
      <c r="AG54" s="17">
        <v>5006664</v>
      </c>
      <c r="AH54" s="17">
        <v>5231552</v>
      </c>
      <c r="AI54" s="9"/>
    </row>
    <row r="55" spans="2:35" x14ac:dyDescent="0.35">
      <c r="B55" s="10"/>
      <c r="C55" s="15"/>
      <c r="D55" s="16" t="s">
        <v>25</v>
      </c>
      <c r="E55" s="17">
        <v>224632</v>
      </c>
      <c r="F55" s="17">
        <v>120031</v>
      </c>
      <c r="G55" s="17">
        <v>64090</v>
      </c>
      <c r="H55" s="17">
        <v>35495</v>
      </c>
      <c r="I55" s="17">
        <v>48376</v>
      </c>
      <c r="J55" s="17">
        <v>51198</v>
      </c>
      <c r="K55" s="8"/>
      <c r="L55" s="8"/>
      <c r="M55" s="17">
        <v>1929137</v>
      </c>
      <c r="N55" s="17">
        <v>1037032</v>
      </c>
      <c r="O55" s="17">
        <v>662714</v>
      </c>
      <c r="P55" s="17">
        <v>390485</v>
      </c>
      <c r="Q55" s="17">
        <v>447531</v>
      </c>
      <c r="R55" s="17">
        <v>490809</v>
      </c>
      <c r="S55" s="8"/>
      <c r="T55" s="8"/>
      <c r="U55" s="17">
        <v>6641363</v>
      </c>
      <c r="V55" s="17">
        <v>3436756</v>
      </c>
      <c r="W55" s="17">
        <v>2235350</v>
      </c>
      <c r="X55" s="17">
        <v>1358931</v>
      </c>
      <c r="Y55" s="17">
        <v>1878959</v>
      </c>
      <c r="Z55" s="17">
        <v>2047593</v>
      </c>
      <c r="AA55" s="8"/>
      <c r="AB55" s="8"/>
      <c r="AC55" s="17">
        <v>15508743</v>
      </c>
      <c r="AD55" s="17">
        <v>8374846</v>
      </c>
      <c r="AE55" s="17">
        <v>5318965</v>
      </c>
      <c r="AF55" s="17">
        <v>3758237</v>
      </c>
      <c r="AG55" s="17">
        <v>4945342</v>
      </c>
      <c r="AH55" s="17">
        <v>5198973</v>
      </c>
      <c r="AI55" s="9"/>
    </row>
    <row r="56" spans="2:35" x14ac:dyDescent="0.35">
      <c r="B56" s="10"/>
      <c r="C56" s="15"/>
      <c r="D56" s="16" t="s">
        <v>26</v>
      </c>
      <c r="E56" s="17">
        <v>223922</v>
      </c>
      <c r="F56" s="17">
        <v>120082</v>
      </c>
      <c r="G56" s="17">
        <v>63570</v>
      </c>
      <c r="H56" s="17">
        <v>35589</v>
      </c>
      <c r="I56" s="17">
        <v>47896</v>
      </c>
      <c r="J56" s="17">
        <v>53727</v>
      </c>
      <c r="K56" s="8"/>
      <c r="L56" s="8"/>
      <c r="M56" s="17">
        <v>1916455</v>
      </c>
      <c r="N56" s="17">
        <v>1036377</v>
      </c>
      <c r="O56" s="17">
        <v>659622</v>
      </c>
      <c r="P56" s="17">
        <v>387596</v>
      </c>
      <c r="Q56" s="17">
        <v>481333</v>
      </c>
      <c r="R56" s="17">
        <v>513601</v>
      </c>
      <c r="S56" s="8"/>
      <c r="T56" s="8"/>
      <c r="U56" s="17">
        <v>6712152</v>
      </c>
      <c r="V56" s="17">
        <v>3466590</v>
      </c>
      <c r="W56" s="17">
        <v>2241366</v>
      </c>
      <c r="X56" s="17">
        <v>1325556</v>
      </c>
      <c r="Y56" s="17">
        <v>1888451</v>
      </c>
      <c r="Z56" s="17">
        <v>2068393</v>
      </c>
      <c r="AA56" s="8"/>
      <c r="AB56" s="8"/>
      <c r="AC56" s="17">
        <v>15461677</v>
      </c>
      <c r="AD56" s="17">
        <v>8370185</v>
      </c>
      <c r="AE56" s="17">
        <v>5382275</v>
      </c>
      <c r="AF56" s="17">
        <v>3643806</v>
      </c>
      <c r="AG56" s="17">
        <v>4990719</v>
      </c>
      <c r="AH56" s="17">
        <v>5151379</v>
      </c>
      <c r="AI56" s="9"/>
    </row>
    <row r="57" spans="2:35" x14ac:dyDescent="0.35">
      <c r="B57" s="10"/>
      <c r="C57" s="15"/>
      <c r="D57" s="16" t="s">
        <v>27</v>
      </c>
      <c r="E57" s="17">
        <v>226176</v>
      </c>
      <c r="F57" s="17">
        <v>118217</v>
      </c>
      <c r="G57" s="17">
        <v>63865</v>
      </c>
      <c r="H57" s="17">
        <v>36892</v>
      </c>
      <c r="I57" s="17">
        <v>42573</v>
      </c>
      <c r="J57" s="17">
        <v>53626</v>
      </c>
      <c r="K57" s="8"/>
      <c r="L57" s="8"/>
      <c r="M57" s="17">
        <v>1904581</v>
      </c>
      <c r="N57" s="17">
        <v>1014660</v>
      </c>
      <c r="O57" s="17">
        <v>670047</v>
      </c>
      <c r="P57" s="17">
        <v>376240</v>
      </c>
      <c r="Q57" s="17">
        <v>443885</v>
      </c>
      <c r="R57" s="17">
        <v>484788</v>
      </c>
      <c r="S57" s="8"/>
      <c r="T57" s="8"/>
      <c r="U57" s="17">
        <v>6520600</v>
      </c>
      <c r="V57" s="17">
        <v>3390933</v>
      </c>
      <c r="W57" s="17">
        <v>2259368</v>
      </c>
      <c r="X57" s="17">
        <v>1341016</v>
      </c>
      <c r="Y57" s="17">
        <v>1940820</v>
      </c>
      <c r="Z57" s="17">
        <v>2089693</v>
      </c>
      <c r="AA57" s="8"/>
      <c r="AB57" s="8"/>
      <c r="AC57" s="17">
        <v>15461822</v>
      </c>
      <c r="AD57" s="17">
        <v>8356629</v>
      </c>
      <c r="AE57" s="17">
        <v>5378174</v>
      </c>
      <c r="AF57" s="17">
        <v>3695512</v>
      </c>
      <c r="AG57" s="17">
        <v>5091292</v>
      </c>
      <c r="AH57" s="17">
        <v>5219219</v>
      </c>
      <c r="AI57" s="9"/>
    </row>
    <row r="58" spans="2:35" x14ac:dyDescent="0.35">
      <c r="B58" s="10"/>
      <c r="C58" s="15"/>
      <c r="D58" s="16" t="s">
        <v>28</v>
      </c>
      <c r="E58" s="17">
        <v>230405</v>
      </c>
      <c r="F58" s="17">
        <v>117753</v>
      </c>
      <c r="G58" s="17">
        <v>63721</v>
      </c>
      <c r="H58" s="17">
        <v>35831</v>
      </c>
      <c r="I58" s="17">
        <v>42878</v>
      </c>
      <c r="J58" s="17">
        <v>55090</v>
      </c>
      <c r="K58" s="8"/>
      <c r="L58" s="8"/>
      <c r="M58" s="17">
        <v>1913850</v>
      </c>
      <c r="N58" s="17">
        <v>1027191</v>
      </c>
      <c r="O58" s="17">
        <v>672148</v>
      </c>
      <c r="P58" s="17">
        <v>411990</v>
      </c>
      <c r="Q58" s="17">
        <v>460829</v>
      </c>
      <c r="R58" s="17">
        <v>503279</v>
      </c>
      <c r="S58" s="8"/>
      <c r="T58" s="8"/>
      <c r="U58" s="17">
        <v>6515631</v>
      </c>
      <c r="V58" s="17">
        <v>3503910</v>
      </c>
      <c r="W58" s="17">
        <v>2240033</v>
      </c>
      <c r="X58" s="17">
        <v>1461406</v>
      </c>
      <c r="Y58" s="17">
        <v>1835673</v>
      </c>
      <c r="Z58" s="17">
        <v>2014147</v>
      </c>
      <c r="AA58" s="8"/>
      <c r="AB58" s="8"/>
      <c r="AC58" s="17">
        <v>15459274</v>
      </c>
      <c r="AD58" s="17">
        <v>8343489</v>
      </c>
      <c r="AE58" s="17">
        <v>5342652</v>
      </c>
      <c r="AF58" s="17">
        <v>3761381</v>
      </c>
      <c r="AG58" s="17">
        <v>4835883</v>
      </c>
      <c r="AH58" s="17">
        <v>5175183</v>
      </c>
      <c r="AI58" s="9"/>
    </row>
    <row r="59" spans="2:35" x14ac:dyDescent="0.35">
      <c r="B59" s="10"/>
      <c r="C59" s="15"/>
      <c r="D59" s="16" t="s">
        <v>29</v>
      </c>
      <c r="E59" s="17">
        <v>226370</v>
      </c>
      <c r="F59" s="17">
        <v>116981</v>
      </c>
      <c r="G59" s="17">
        <v>63702</v>
      </c>
      <c r="H59" s="17">
        <v>35678</v>
      </c>
      <c r="I59" s="17">
        <v>44003</v>
      </c>
      <c r="J59" s="17">
        <v>53452</v>
      </c>
      <c r="K59" s="8"/>
      <c r="L59" s="8"/>
      <c r="M59" s="17">
        <v>1905538</v>
      </c>
      <c r="N59" s="17">
        <v>1024900</v>
      </c>
      <c r="O59" s="17">
        <v>655305</v>
      </c>
      <c r="P59" s="17">
        <v>392669</v>
      </c>
      <c r="Q59" s="17">
        <v>449362</v>
      </c>
      <c r="R59" s="17">
        <v>493863</v>
      </c>
      <c r="S59" s="8"/>
      <c r="T59" s="8"/>
      <c r="U59" s="17">
        <v>6480334</v>
      </c>
      <c r="V59" s="17">
        <v>3469397</v>
      </c>
      <c r="W59" s="17">
        <v>2235402</v>
      </c>
      <c r="X59" s="17">
        <v>1382938</v>
      </c>
      <c r="Y59" s="17">
        <v>1975328</v>
      </c>
      <c r="Z59" s="17">
        <v>1996463</v>
      </c>
      <c r="AA59" s="8"/>
      <c r="AB59" s="8"/>
      <c r="AC59" s="17">
        <v>15470838</v>
      </c>
      <c r="AD59" s="17">
        <v>8412890</v>
      </c>
      <c r="AE59" s="17">
        <v>5349863</v>
      </c>
      <c r="AF59" s="17">
        <v>3780716</v>
      </c>
      <c r="AG59" s="17">
        <v>4931655</v>
      </c>
      <c r="AH59" s="17">
        <v>5213668</v>
      </c>
      <c r="AI59" s="9"/>
    </row>
    <row r="60" spans="2:35" x14ac:dyDescent="0.35">
      <c r="B60" s="10"/>
      <c r="C60" s="15"/>
      <c r="D60" s="16" t="s">
        <v>30</v>
      </c>
      <c r="E60" s="17">
        <v>225541</v>
      </c>
      <c r="F60" s="17">
        <v>121054</v>
      </c>
      <c r="G60" s="17">
        <v>63458</v>
      </c>
      <c r="H60" s="17">
        <v>37442</v>
      </c>
      <c r="I60" s="17">
        <v>41267</v>
      </c>
      <c r="J60" s="17">
        <v>59902</v>
      </c>
      <c r="K60" s="8"/>
      <c r="L60" s="8"/>
      <c r="M60" s="17">
        <v>1903983</v>
      </c>
      <c r="N60" s="17">
        <v>1028633</v>
      </c>
      <c r="O60" s="17">
        <v>661561</v>
      </c>
      <c r="P60" s="17">
        <v>425423</v>
      </c>
      <c r="Q60" s="17">
        <v>452315</v>
      </c>
      <c r="R60" s="17">
        <v>527492</v>
      </c>
      <c r="S60" s="8"/>
      <c r="T60" s="8"/>
      <c r="U60" s="17">
        <v>6508794</v>
      </c>
      <c r="V60" s="17">
        <v>3492672</v>
      </c>
      <c r="W60" s="17">
        <v>2252672</v>
      </c>
      <c r="X60" s="17">
        <v>1313000</v>
      </c>
      <c r="Y60" s="17">
        <v>1820505</v>
      </c>
      <c r="Z60" s="17">
        <v>2075273</v>
      </c>
      <c r="AA60" s="8"/>
      <c r="AB60" s="8"/>
      <c r="AC60" s="17">
        <v>15466313</v>
      </c>
      <c r="AD60" s="17">
        <v>8415664</v>
      </c>
      <c r="AE60" s="17">
        <v>5351152</v>
      </c>
      <c r="AF60" s="17">
        <v>3530963</v>
      </c>
      <c r="AG60" s="17">
        <v>5068790</v>
      </c>
      <c r="AH60" s="17">
        <v>5206195</v>
      </c>
      <c r="AI60" s="9"/>
    </row>
    <row r="61" spans="2:35" x14ac:dyDescent="0.35">
      <c r="B61" s="10"/>
      <c r="C61" s="15"/>
      <c r="D61" s="16" t="s">
        <v>31</v>
      </c>
      <c r="E61" s="17">
        <v>226633</v>
      </c>
      <c r="F61" s="17">
        <v>118173</v>
      </c>
      <c r="G61" s="17">
        <v>63710</v>
      </c>
      <c r="H61" s="17">
        <v>35677</v>
      </c>
      <c r="I61" s="17">
        <v>42957</v>
      </c>
      <c r="J61" s="17">
        <v>53530</v>
      </c>
      <c r="K61" s="8"/>
      <c r="L61" s="8"/>
      <c r="M61" s="17">
        <v>1901650</v>
      </c>
      <c r="N61" s="17">
        <v>1034210</v>
      </c>
      <c r="O61" s="17">
        <v>663190</v>
      </c>
      <c r="P61" s="17">
        <v>385607</v>
      </c>
      <c r="Q61" s="17">
        <v>456497</v>
      </c>
      <c r="R61" s="17">
        <v>499253</v>
      </c>
      <c r="S61" s="8"/>
      <c r="T61" s="8"/>
      <c r="U61" s="17">
        <v>6490542</v>
      </c>
      <c r="V61" s="17">
        <v>3487184</v>
      </c>
      <c r="W61" s="17">
        <v>2252521</v>
      </c>
      <c r="X61" s="17">
        <v>1362477</v>
      </c>
      <c r="Y61" s="17">
        <v>1864945</v>
      </c>
      <c r="Z61" s="17">
        <v>2048737</v>
      </c>
      <c r="AA61" s="8"/>
      <c r="AB61" s="8"/>
      <c r="AC61" s="17">
        <v>15453315</v>
      </c>
      <c r="AD61" s="17">
        <v>8383009</v>
      </c>
      <c r="AE61" s="17">
        <v>5272002</v>
      </c>
      <c r="AF61" s="17">
        <v>4178008</v>
      </c>
      <c r="AG61" s="17">
        <v>5022916</v>
      </c>
      <c r="AH61" s="17">
        <v>5190918</v>
      </c>
      <c r="AI61" s="9"/>
    </row>
    <row r="62" spans="2:35" x14ac:dyDescent="0.35">
      <c r="B62" s="10"/>
      <c r="C62" s="15"/>
      <c r="D62" s="16" t="s">
        <v>32</v>
      </c>
      <c r="E62" s="17">
        <v>228394</v>
      </c>
      <c r="F62" s="17">
        <v>123607</v>
      </c>
      <c r="G62" s="17">
        <v>63589</v>
      </c>
      <c r="H62" s="17">
        <v>35635</v>
      </c>
      <c r="I62" s="17">
        <v>40652</v>
      </c>
      <c r="J62" s="17">
        <v>56108</v>
      </c>
      <c r="K62" s="8"/>
      <c r="L62" s="8"/>
      <c r="M62" s="17">
        <v>1903534</v>
      </c>
      <c r="N62" s="17">
        <v>1037788</v>
      </c>
      <c r="O62" s="17">
        <v>662228</v>
      </c>
      <c r="P62" s="17">
        <v>412329</v>
      </c>
      <c r="Q62" s="17">
        <v>470593</v>
      </c>
      <c r="R62" s="17">
        <v>512372</v>
      </c>
      <c r="S62" s="8"/>
      <c r="T62" s="8"/>
      <c r="U62" s="17">
        <v>6516847</v>
      </c>
      <c r="V62" s="17">
        <v>3530054</v>
      </c>
      <c r="W62" s="17">
        <v>2195651</v>
      </c>
      <c r="X62" s="17">
        <v>1438059</v>
      </c>
      <c r="Y62" s="17">
        <v>1767840</v>
      </c>
      <c r="Z62" s="17">
        <v>2081344</v>
      </c>
      <c r="AA62" s="8"/>
      <c r="AB62" s="8"/>
      <c r="AC62" s="17">
        <v>15473649</v>
      </c>
      <c r="AD62" s="17">
        <v>8335788</v>
      </c>
      <c r="AE62" s="17">
        <v>5364236</v>
      </c>
      <c r="AF62" s="17">
        <v>3823855</v>
      </c>
      <c r="AG62" s="17">
        <v>5065055</v>
      </c>
      <c r="AH62" s="17">
        <v>5156323</v>
      </c>
      <c r="AI62" s="9"/>
    </row>
    <row r="63" spans="2:35" x14ac:dyDescent="0.35">
      <c r="B63" s="10"/>
      <c r="C63" s="15"/>
      <c r="D63" s="16" t="s">
        <v>33</v>
      </c>
      <c r="E63" s="17">
        <v>226975</v>
      </c>
      <c r="F63" s="17">
        <v>122621</v>
      </c>
      <c r="G63" s="17">
        <v>63685</v>
      </c>
      <c r="H63" s="17">
        <v>38431</v>
      </c>
      <c r="I63" s="17">
        <v>43716</v>
      </c>
      <c r="J63" s="17">
        <v>56629</v>
      </c>
      <c r="K63" s="8"/>
      <c r="L63" s="8"/>
      <c r="M63" s="17">
        <v>1899096</v>
      </c>
      <c r="N63" s="17">
        <v>1003489</v>
      </c>
      <c r="O63" s="17">
        <v>664367</v>
      </c>
      <c r="P63" s="17">
        <v>407876</v>
      </c>
      <c r="Q63" s="17">
        <v>472214</v>
      </c>
      <c r="R63" s="17">
        <v>502205</v>
      </c>
      <c r="S63" s="8"/>
      <c r="T63" s="8"/>
      <c r="U63" s="17">
        <v>6521756</v>
      </c>
      <c r="V63" s="17">
        <v>3448201</v>
      </c>
      <c r="W63" s="17">
        <v>2220143</v>
      </c>
      <c r="X63" s="17">
        <v>1388424</v>
      </c>
      <c r="Y63" s="17">
        <v>1919985</v>
      </c>
      <c r="Z63" s="17">
        <v>2026590</v>
      </c>
      <c r="AA63" s="8"/>
      <c r="AB63" s="8"/>
      <c r="AC63" s="17">
        <v>15452697</v>
      </c>
      <c r="AD63" s="17">
        <v>8348283</v>
      </c>
      <c r="AE63" s="17">
        <v>5390725</v>
      </c>
      <c r="AF63" s="17">
        <v>3807124</v>
      </c>
      <c r="AG63" s="17">
        <v>5017093</v>
      </c>
      <c r="AH63" s="17">
        <v>5218741</v>
      </c>
      <c r="AI63" s="9"/>
    </row>
    <row r="64" spans="2:35" x14ac:dyDescent="0.35">
      <c r="B64" s="10"/>
      <c r="C64" s="15"/>
      <c r="D64" s="16" t="s">
        <v>34</v>
      </c>
      <c r="E64" s="17">
        <v>226366</v>
      </c>
      <c r="F64" s="17">
        <v>121412</v>
      </c>
      <c r="G64" s="17">
        <v>63516</v>
      </c>
      <c r="H64" s="17">
        <v>35994</v>
      </c>
      <c r="I64" s="17">
        <v>42560</v>
      </c>
      <c r="J64" s="17">
        <v>52172</v>
      </c>
      <c r="K64" s="8"/>
      <c r="L64" s="8"/>
      <c r="M64" s="17">
        <v>1899658</v>
      </c>
      <c r="N64" s="17">
        <v>983804</v>
      </c>
      <c r="O64" s="17">
        <v>657425</v>
      </c>
      <c r="P64" s="17">
        <v>420066</v>
      </c>
      <c r="Q64" s="17">
        <v>456510</v>
      </c>
      <c r="R64" s="17">
        <v>515807</v>
      </c>
      <c r="S64" s="8"/>
      <c r="T64" s="8"/>
      <c r="U64" s="17">
        <v>6507245</v>
      </c>
      <c r="V64" s="17">
        <v>3467560</v>
      </c>
      <c r="W64" s="17">
        <v>2270314</v>
      </c>
      <c r="X64" s="17">
        <v>1338927</v>
      </c>
      <c r="Y64" s="17">
        <v>1907841</v>
      </c>
      <c r="Z64" s="17">
        <v>2046961</v>
      </c>
      <c r="AA64" s="8"/>
      <c r="AB64" s="8"/>
      <c r="AC64" s="17">
        <v>15467967</v>
      </c>
      <c r="AD64" s="17">
        <v>8357584</v>
      </c>
      <c r="AE64" s="17">
        <v>5371200</v>
      </c>
      <c r="AF64" s="17">
        <v>3718976</v>
      </c>
      <c r="AG64" s="17">
        <v>4854865</v>
      </c>
      <c r="AH64" s="17">
        <v>5258127</v>
      </c>
      <c r="AI64" s="9"/>
    </row>
    <row r="65" spans="2:35" x14ac:dyDescent="0.35">
      <c r="B65" s="10"/>
      <c r="C65" s="15"/>
      <c r="D65" s="16" t="s">
        <v>35</v>
      </c>
      <c r="E65" s="17">
        <v>225085</v>
      </c>
      <c r="F65" s="17">
        <v>122406</v>
      </c>
      <c r="G65" s="17">
        <v>64071</v>
      </c>
      <c r="H65" s="17">
        <v>35587</v>
      </c>
      <c r="I65" s="17">
        <v>41250</v>
      </c>
      <c r="J65" s="17">
        <v>60960</v>
      </c>
      <c r="K65" s="8"/>
      <c r="L65" s="8"/>
      <c r="M65" s="17">
        <v>1901086</v>
      </c>
      <c r="N65" s="17">
        <v>1028245</v>
      </c>
      <c r="O65" s="17">
        <v>661227</v>
      </c>
      <c r="P65" s="17">
        <v>372149</v>
      </c>
      <c r="Q65" s="17">
        <v>469489</v>
      </c>
      <c r="R65" s="17">
        <v>501801</v>
      </c>
      <c r="S65" s="8"/>
      <c r="T65" s="8"/>
      <c r="U65" s="17">
        <v>6476663</v>
      </c>
      <c r="V65" s="17">
        <v>3484168</v>
      </c>
      <c r="W65" s="17">
        <v>2236392</v>
      </c>
      <c r="X65" s="17">
        <v>1415468</v>
      </c>
      <c r="Y65" s="17">
        <v>1967795</v>
      </c>
      <c r="Z65" s="17">
        <v>2060383</v>
      </c>
      <c r="AA65" s="8"/>
      <c r="AB65" s="8"/>
      <c r="AC65" s="17">
        <v>15523550</v>
      </c>
      <c r="AD65" s="17">
        <v>8450484</v>
      </c>
      <c r="AE65" s="17">
        <v>5341952</v>
      </c>
      <c r="AF65" s="17">
        <v>4060455</v>
      </c>
      <c r="AG65" s="17">
        <v>4948506</v>
      </c>
      <c r="AH65" s="17">
        <v>5239038</v>
      </c>
      <c r="AI65" s="9"/>
    </row>
    <row r="66" spans="2:35" x14ac:dyDescent="0.35">
      <c r="B66" s="10"/>
      <c r="C66" s="15"/>
      <c r="D66" s="16" t="s">
        <v>36</v>
      </c>
      <c r="E66" s="17">
        <v>227311</v>
      </c>
      <c r="F66" s="17">
        <v>122247</v>
      </c>
      <c r="G66" s="17">
        <v>63507</v>
      </c>
      <c r="H66" s="17">
        <v>38609</v>
      </c>
      <c r="I66" s="17">
        <v>46080</v>
      </c>
      <c r="J66" s="17">
        <v>56636</v>
      </c>
      <c r="K66" s="8"/>
      <c r="L66" s="8"/>
      <c r="M66" s="17">
        <v>1895104</v>
      </c>
      <c r="N66" s="17">
        <v>1036070</v>
      </c>
      <c r="O66" s="17">
        <v>666070</v>
      </c>
      <c r="P66" s="17">
        <v>404496</v>
      </c>
      <c r="Q66" s="17">
        <v>462244</v>
      </c>
      <c r="R66" s="17">
        <v>518590</v>
      </c>
      <c r="S66" s="8"/>
      <c r="T66" s="8"/>
      <c r="U66" s="17">
        <v>6504818</v>
      </c>
      <c r="V66" s="17">
        <v>3507330</v>
      </c>
      <c r="W66" s="17">
        <v>2254474</v>
      </c>
      <c r="X66" s="17">
        <v>1402985</v>
      </c>
      <c r="Y66" s="17">
        <v>1890587</v>
      </c>
      <c r="Z66" s="17">
        <v>2047569</v>
      </c>
      <c r="AA66" s="8"/>
      <c r="AB66" s="8"/>
      <c r="AC66" s="17">
        <v>15511045</v>
      </c>
      <c r="AD66" s="17">
        <v>8439303</v>
      </c>
      <c r="AE66" s="17">
        <v>5358272</v>
      </c>
      <c r="AF66" s="17">
        <v>3753472</v>
      </c>
      <c r="AG66" s="17">
        <v>5084016</v>
      </c>
      <c r="AH66" s="17">
        <v>5218938</v>
      </c>
      <c r="AI66" s="9"/>
    </row>
    <row r="67" spans="2:35" x14ac:dyDescent="0.35">
      <c r="B67" s="10"/>
      <c r="C67" s="15"/>
      <c r="D67" s="16" t="s">
        <v>37</v>
      </c>
      <c r="E67" s="17">
        <v>227326</v>
      </c>
      <c r="F67" s="17">
        <v>120954</v>
      </c>
      <c r="G67" s="17">
        <v>64716</v>
      </c>
      <c r="H67" s="17">
        <v>35984</v>
      </c>
      <c r="I67" s="17">
        <v>46149</v>
      </c>
      <c r="J67" s="17">
        <v>56280</v>
      </c>
      <c r="K67" s="8"/>
      <c r="L67" s="8"/>
      <c r="M67" s="17">
        <v>1900865</v>
      </c>
      <c r="N67" s="17">
        <v>1040017</v>
      </c>
      <c r="O67" s="17">
        <v>659865</v>
      </c>
      <c r="P67" s="17">
        <v>379370</v>
      </c>
      <c r="Q67" s="17">
        <v>448612</v>
      </c>
      <c r="R67" s="17">
        <v>485552</v>
      </c>
      <c r="S67" s="8"/>
      <c r="T67" s="8"/>
      <c r="U67" s="17">
        <v>6502474</v>
      </c>
      <c r="V67" s="17">
        <v>3474096</v>
      </c>
      <c r="W67" s="17">
        <v>2242291</v>
      </c>
      <c r="X67" s="17">
        <v>1415335</v>
      </c>
      <c r="Y67" s="17">
        <v>1862620</v>
      </c>
      <c r="Z67" s="17">
        <v>2055319</v>
      </c>
      <c r="AA67" s="8"/>
      <c r="AB67" s="8"/>
      <c r="AC67" s="17">
        <v>15468551</v>
      </c>
      <c r="AD67" s="17">
        <v>8440032</v>
      </c>
      <c r="AE67" s="17">
        <v>5361571</v>
      </c>
      <c r="AF67" s="17">
        <v>4027650</v>
      </c>
      <c r="AG67" s="17">
        <v>5079206</v>
      </c>
      <c r="AH67" s="17">
        <v>5250101</v>
      </c>
      <c r="AI67" s="9"/>
    </row>
    <row r="68" spans="2:35" x14ac:dyDescent="0.35">
      <c r="B68" s="10"/>
      <c r="C68" s="15"/>
      <c r="D68" s="16" t="s">
        <v>38</v>
      </c>
      <c r="E68" s="17">
        <v>227474</v>
      </c>
      <c r="F68" s="17">
        <v>119834</v>
      </c>
      <c r="G68" s="17">
        <v>63573</v>
      </c>
      <c r="H68" s="17">
        <v>35648</v>
      </c>
      <c r="I68" s="17">
        <v>44962</v>
      </c>
      <c r="J68" s="17">
        <v>59471</v>
      </c>
      <c r="K68" s="8"/>
      <c r="L68" s="8"/>
      <c r="M68" s="17">
        <v>1903237</v>
      </c>
      <c r="N68" s="17">
        <v>1045373</v>
      </c>
      <c r="O68" s="17">
        <v>668103</v>
      </c>
      <c r="P68" s="17">
        <v>405362</v>
      </c>
      <c r="Q68" s="17">
        <v>447664</v>
      </c>
      <c r="R68" s="17">
        <v>498967</v>
      </c>
      <c r="S68" s="8"/>
      <c r="T68" s="8"/>
      <c r="U68" s="17">
        <v>6500187</v>
      </c>
      <c r="V68" s="17">
        <v>3482892</v>
      </c>
      <c r="W68" s="17">
        <v>2242711</v>
      </c>
      <c r="X68" s="17">
        <v>1333301</v>
      </c>
      <c r="Y68" s="17">
        <v>1893903</v>
      </c>
      <c r="Z68" s="17">
        <v>2009614</v>
      </c>
      <c r="AA68" s="8"/>
      <c r="AB68" s="8"/>
      <c r="AC68" s="17">
        <v>15452449</v>
      </c>
      <c r="AD68" s="17">
        <v>8404075</v>
      </c>
      <c r="AE68" s="17">
        <v>5398110</v>
      </c>
      <c r="AF68" s="17">
        <v>3848783</v>
      </c>
      <c r="AG68" s="17">
        <v>4865909</v>
      </c>
      <c r="AH68" s="17">
        <v>5210281</v>
      </c>
      <c r="AI68" s="9"/>
    </row>
    <row r="69" spans="2:35" x14ac:dyDescent="0.35">
      <c r="B69" s="10"/>
      <c r="C69" s="15"/>
      <c r="D69" s="16" t="s">
        <v>39</v>
      </c>
      <c r="E69" s="17">
        <v>230415</v>
      </c>
      <c r="F69" s="17">
        <v>123222</v>
      </c>
      <c r="G69" s="17">
        <v>63815</v>
      </c>
      <c r="H69" s="17">
        <v>37337</v>
      </c>
      <c r="I69" s="17">
        <v>45987</v>
      </c>
      <c r="J69" s="17">
        <v>58835</v>
      </c>
      <c r="K69" s="8"/>
      <c r="L69" s="8"/>
      <c r="M69" s="17">
        <v>1901432</v>
      </c>
      <c r="N69" s="17">
        <v>1033162</v>
      </c>
      <c r="O69" s="17">
        <v>668206</v>
      </c>
      <c r="P69" s="17">
        <v>399077</v>
      </c>
      <c r="Q69" s="17">
        <v>460259</v>
      </c>
      <c r="R69" s="17">
        <v>511683</v>
      </c>
      <c r="S69" s="8"/>
      <c r="T69" s="8"/>
      <c r="U69" s="17">
        <v>6501282</v>
      </c>
      <c r="V69" s="17">
        <v>3488673</v>
      </c>
      <c r="W69" s="17">
        <v>2244467</v>
      </c>
      <c r="X69" s="17">
        <v>1340558</v>
      </c>
      <c r="Y69" s="17">
        <v>1865100</v>
      </c>
      <c r="Z69" s="17">
        <v>2057304</v>
      </c>
      <c r="AA69" s="8"/>
      <c r="AB69" s="8"/>
      <c r="AC69" s="17">
        <v>15454092</v>
      </c>
      <c r="AD69" s="17">
        <v>8454355</v>
      </c>
      <c r="AE69" s="17">
        <v>5354418</v>
      </c>
      <c r="AF69" s="17">
        <v>4016996</v>
      </c>
      <c r="AG69" s="17">
        <v>5028979</v>
      </c>
      <c r="AH69" s="17">
        <v>5259427</v>
      </c>
      <c r="AI69" s="9"/>
    </row>
    <row r="70" spans="2:35" x14ac:dyDescent="0.35">
      <c r="B70" s="10"/>
      <c r="C70" s="15"/>
      <c r="D70" s="16" t="s">
        <v>40</v>
      </c>
      <c r="E70" s="17">
        <v>224900</v>
      </c>
      <c r="F70" s="17">
        <v>122505</v>
      </c>
      <c r="G70" s="17">
        <v>63475</v>
      </c>
      <c r="H70" s="17">
        <v>35629</v>
      </c>
      <c r="I70" s="17">
        <v>46060</v>
      </c>
      <c r="J70" s="17">
        <v>60985</v>
      </c>
      <c r="K70" s="8"/>
      <c r="L70" s="8"/>
      <c r="M70" s="17">
        <v>1901189</v>
      </c>
      <c r="N70" s="17">
        <v>1037569</v>
      </c>
      <c r="O70" s="17">
        <v>666510</v>
      </c>
      <c r="P70" s="17">
        <v>402377</v>
      </c>
      <c r="Q70" s="17">
        <v>462270</v>
      </c>
      <c r="R70" s="17">
        <v>494292</v>
      </c>
      <c r="S70" s="8"/>
      <c r="T70" s="8"/>
      <c r="U70" s="17">
        <v>6485900</v>
      </c>
      <c r="V70" s="17">
        <v>3496126</v>
      </c>
      <c r="W70" s="17">
        <v>2279997</v>
      </c>
      <c r="X70" s="17">
        <v>1415300</v>
      </c>
      <c r="Y70" s="17">
        <v>1957857</v>
      </c>
      <c r="Z70" s="17">
        <v>2066460</v>
      </c>
      <c r="AA70" s="8"/>
      <c r="AB70" s="8"/>
      <c r="AC70" s="17">
        <v>15474747</v>
      </c>
      <c r="AD70" s="17">
        <v>8406506</v>
      </c>
      <c r="AE70" s="17">
        <v>5291360</v>
      </c>
      <c r="AF70" s="17">
        <v>3643501</v>
      </c>
      <c r="AG70" s="17">
        <v>5013017</v>
      </c>
      <c r="AH70" s="17">
        <v>5191297</v>
      </c>
      <c r="AI70" s="9"/>
    </row>
    <row r="71" spans="2:35" x14ac:dyDescent="0.35">
      <c r="B71" s="10"/>
      <c r="C71" s="19"/>
      <c r="D71" s="20" t="s">
        <v>41</v>
      </c>
      <c r="E71" s="21">
        <f t="array" ref="E71">ROUND(AVERAGE(IF((ISNUMBER(E41:E70))*(E41:E70&lt;LARGE(E41:E70,2))*(E41:E70&gt;SMALL(E41:E70,2)),E41:E70)),0)</f>
        <v>226399</v>
      </c>
      <c r="F71" s="21">
        <f t="array" ref="F71">ROUND(AVERAGE(IF((ISNUMBER(F41:F70))*(F41:F70&lt;LARGE(F41:F70,2))*(F41:F70&gt;SMALL(F41:F70,2)),F41:F70)),0)</f>
        <v>120553</v>
      </c>
      <c r="G71" s="21">
        <f t="array" ref="G71">ROUND(AVERAGE(IF((ISNUMBER(G41:G70))*(G41:G70&lt;LARGE(G41:G70,2))*(G41:G70&gt;SMALL(G41:G70,2)),G41:G70)),0)</f>
        <v>63773</v>
      </c>
      <c r="H71" s="21">
        <f t="array" ref="H71">ROUND(AVERAGE(IF((ISNUMBER(H41:H70))*(H41:H70&lt;LARGE(H41:H70,2))*(H41:H70&gt;SMALL(H41:H70,2)),H41:H70)),0)</f>
        <v>36532</v>
      </c>
      <c r="I71" s="21">
        <f t="array" ref="I71">ROUND(AVERAGE(IF((ISNUMBER(I41:I70))*(I41:I70&lt;LARGE(I41:I70,2))*(I41:I70&gt;SMALL(I41:I70,2)),I41:I70)),0)</f>
        <v>44381</v>
      </c>
      <c r="J71" s="21">
        <f t="array" ref="J71">ROUND(AVERAGE(IF((ISNUMBER(J41:J70))*(J41:J70&lt;LARGE(J41:J70,2))*(J41:J70&gt;SMALL(J41:J70,2)),J41:J70)),0)</f>
        <v>52247</v>
      </c>
      <c r="K71" s="21"/>
      <c r="L71" s="21"/>
      <c r="M71" s="21">
        <f t="array" ref="M71">ROUND(AVERAGE(IF((ISNUMBER(M41:M70))*(M41:M70&lt;LARGE(M41:M70,2))*(M41:M70&gt;SMALL(M41:M70,2)),M41:M70)),0)</f>
        <v>1903163</v>
      </c>
      <c r="N71" s="21">
        <f t="array" ref="N71">ROUND(AVERAGE(IF((ISNUMBER(N41:N70))*(N41:N70&lt;LARGE(N41:N70,2))*(N41:N70&gt;SMALL(N41:N70,2)),N41:N70)),0)</f>
        <v>1029555</v>
      </c>
      <c r="O71" s="21">
        <f t="array" ref="O71">ROUND(AVERAGE(IF((ISNUMBER(O41:O70))*(O41:O70&lt;LARGE(O41:O70,2))*(O41:O70&gt;SMALL(O41:O70,2)),O41:O70)),0)</f>
        <v>657260</v>
      </c>
      <c r="P71" s="21">
        <f t="array" ref="P71">ROUND(AVERAGE(IF((ISNUMBER(P41:P70))*(P41:P70&lt;LARGE(P41:P70,2))*(P41:P70&gt;SMALL(P41:P70,2)),P41:P70)),0)</f>
        <v>398651</v>
      </c>
      <c r="Q71" s="21">
        <f t="array" ref="Q71">ROUND(AVERAGE(IF((ISNUMBER(Q41:Q70))*(Q41:Q70&lt;LARGE(Q41:Q70,2))*(Q41:Q70&gt;SMALL(Q41:Q70,2)),Q41:Q70)),0)</f>
        <v>456533</v>
      </c>
      <c r="R71" s="21">
        <f t="array" ref="R71">ROUND(AVERAGE(IF((ISNUMBER(R41:R70))*(R41:R70&lt;LARGE(R41:R70,2))*(R41:R70&gt;SMALL(R41:R70,2)),R41:R70)),0)</f>
        <v>501688</v>
      </c>
      <c r="S71" s="21"/>
      <c r="T71" s="21"/>
      <c r="U71" s="21">
        <f t="array" ref="U71">ROUND(AVERAGE(IF((ISNUMBER(U41:U70))*(U41:U70&lt;LARGE(U41:U70,2))*(U41:U70&gt;SMALL(U41:U70,2)),U41:U70)),0)</f>
        <v>6531203</v>
      </c>
      <c r="V71" s="21">
        <f t="array" ref="V71">ROUND(AVERAGE(IF((ISNUMBER(V41:V70))*(V41:V70&lt;LARGE(V41:V70,2))*(V41:V70&gt;SMALL(V41:V70,2)),V41:V70)),0)</f>
        <v>3490420</v>
      </c>
      <c r="W71" s="21">
        <f t="array" ref="W71">ROUND(AVERAGE(IF((ISNUMBER(W41:W70))*(W41:W70&lt;LARGE(W41:W70,2))*(W41:W70&gt;SMALL(W41:W70,2)),W41:W70)),0)</f>
        <v>2247237</v>
      </c>
      <c r="X71" s="21">
        <f t="array" ref="X71">ROUND(AVERAGE(IF((ISNUMBER(X41:X70))*(X41:X70&lt;LARGE(X41:X70,2))*(X41:X70&gt;SMALL(X41:X70,2)),X41:X70)),0)</f>
        <v>1378397</v>
      </c>
      <c r="Y71" s="21">
        <f t="array" ref="Y71">ROUND(AVERAGE(IF((ISNUMBER(Y41:Y70))*(Y41:Y70&lt;LARGE(Y41:Y70,2))*(Y41:Y70&gt;SMALL(Y41:Y70,2)),Y41:Y70)),0)</f>
        <v>1894834</v>
      </c>
      <c r="Z71" s="21">
        <f t="array" ref="Z71">ROUND(AVERAGE(IF((ISNUMBER(Z41:Z70))*(Z41:Z70&lt;LARGE(Z41:Z70,2))*(Z41:Z70&gt;SMALL(Z41:Z70,2)),Z41:Z70)),0)</f>
        <v>2121635</v>
      </c>
      <c r="AA71" s="21"/>
      <c r="AB71" s="21"/>
      <c r="AC71" s="21">
        <f t="array" ref="AC71">ROUND(AVERAGE(IF((ISNUMBER(AC41:AC70))*(AC41:AC70&lt;LARGE(AC41:AC70,2))*(AC41:AC70&gt;SMALL(AC41:AC70,2)),AC41:AC70)),0)</f>
        <v>15469517</v>
      </c>
      <c r="AD71" s="21">
        <f t="array" ref="AD71">ROUND(AVERAGE(IF((ISNUMBER(AD41:AD70))*(AD41:AD70&lt;LARGE(AD41:AD70,2))*(AD41:AD70&gt;SMALL(AD41:AD70,2)),AD41:AD70)),0)</f>
        <v>8393980</v>
      </c>
      <c r="AE71" s="21">
        <f t="array" ref="AE71">ROUND(AVERAGE(IF((ISNUMBER(AE41:AE70))*(AE41:AE70&lt;LARGE(AE41:AE70,2))*(AE41:AE70&gt;SMALL(AE41:AE70,2)),AE41:AE70)),0)</f>
        <v>5343621</v>
      </c>
      <c r="AF71" s="21">
        <f t="array" ref="AF71">ROUND(AVERAGE(IF((ISNUMBER(AF41:AF70))*(AF41:AF70&lt;LARGE(AF41:AF70,2))*(AF41:AF70&gt;SMALL(AF41:AF70,2)),AF41:AF70)),0)</f>
        <v>3804309</v>
      </c>
      <c r="AG71" s="21">
        <f t="array" ref="AG71">ROUND(AVERAGE(IF((ISNUMBER(AG41:AG70))*(AG41:AG70&lt;LARGE(AG41:AG70,2))*(AG41:AG70&gt;SMALL(AG41:AG70,2)),AG41:AG70)),0)</f>
        <v>5008467</v>
      </c>
      <c r="AH71" s="22">
        <f t="array" ref="AH71">ROUND(AVERAGE(IF((ISNUMBER(AH41:AH70))*(AH41:AH70&lt;LARGE(AH41:AH70,2))*(AH41:AH70&gt;SMALL(AH41:AH70,2)),AH41:AH70)),0)</f>
        <v>5217097</v>
      </c>
      <c r="AI71" s="9"/>
    </row>
    <row r="72" spans="2:35" x14ac:dyDescent="0.35">
      <c r="B72" s="23"/>
      <c r="C72" s="24"/>
      <c r="D72" s="25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6"/>
    </row>
    <row r="73" spans="2:35" x14ac:dyDescent="0.35">
      <c r="B73" s="67"/>
      <c r="C73" s="44"/>
      <c r="D73" s="68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</row>
    <row r="74" spans="2:35" ht="37" x14ac:dyDescent="0.85">
      <c r="B74" s="2" t="s">
        <v>44</v>
      </c>
      <c r="C74" s="3"/>
      <c r="D74" s="27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5"/>
    </row>
    <row r="75" spans="2:35" x14ac:dyDescent="0.35">
      <c r="B75" s="6"/>
      <c r="C75" s="7"/>
      <c r="D75" s="2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9"/>
    </row>
    <row r="76" spans="2:35" x14ac:dyDescent="0.35">
      <c r="B76" s="10"/>
      <c r="C76" s="11" t="s">
        <v>1</v>
      </c>
      <c r="D76" s="12"/>
      <c r="E76" s="12" t="s">
        <v>2</v>
      </c>
      <c r="F76" s="12" t="s">
        <v>3</v>
      </c>
      <c r="G76" s="12" t="s">
        <v>4</v>
      </c>
      <c r="H76" s="12" t="s">
        <v>5</v>
      </c>
      <c r="I76" s="12" t="s">
        <v>6</v>
      </c>
      <c r="J76" s="12" t="s">
        <v>7</v>
      </c>
      <c r="K76" s="13" t="s">
        <v>8</v>
      </c>
      <c r="L76" s="13"/>
      <c r="M76" s="12" t="s">
        <v>2</v>
      </c>
      <c r="N76" s="12" t="s">
        <v>3</v>
      </c>
      <c r="O76" s="12" t="s">
        <v>4</v>
      </c>
      <c r="P76" s="12" t="s">
        <v>5</v>
      </c>
      <c r="Q76" s="12" t="s">
        <v>6</v>
      </c>
      <c r="R76" s="12" t="s">
        <v>7</v>
      </c>
      <c r="S76" s="13" t="s">
        <v>43</v>
      </c>
      <c r="T76" s="13"/>
      <c r="U76" s="12" t="s">
        <v>2</v>
      </c>
      <c r="V76" s="12" t="s">
        <v>3</v>
      </c>
      <c r="W76" s="12" t="s">
        <v>4</v>
      </c>
      <c r="X76" s="12" t="s">
        <v>5</v>
      </c>
      <c r="Y76" s="12" t="s">
        <v>6</v>
      </c>
      <c r="Z76" s="12" t="s">
        <v>7</v>
      </c>
      <c r="AA76" s="13" t="s">
        <v>45</v>
      </c>
      <c r="AB76" s="13"/>
      <c r="AC76" s="12" t="s">
        <v>2</v>
      </c>
      <c r="AD76" s="12" t="s">
        <v>3</v>
      </c>
      <c r="AE76" s="12" t="s">
        <v>4</v>
      </c>
      <c r="AF76" s="12" t="s">
        <v>5</v>
      </c>
      <c r="AG76" s="12" t="s">
        <v>6</v>
      </c>
      <c r="AH76" s="14" t="s">
        <v>7</v>
      </c>
      <c r="AI76" s="9"/>
    </row>
    <row r="77" spans="2:35" x14ac:dyDescent="0.35">
      <c r="B77" s="10"/>
      <c r="C77" s="15"/>
      <c r="D77" s="16" t="s">
        <v>11</v>
      </c>
      <c r="E77" s="17">
        <v>232349</v>
      </c>
      <c r="F77" s="17">
        <v>123620</v>
      </c>
      <c r="G77" s="17">
        <v>63751</v>
      </c>
      <c r="H77" s="17">
        <v>39261</v>
      </c>
      <c r="I77" s="17">
        <v>41869</v>
      </c>
      <c r="J77" s="17">
        <v>40157</v>
      </c>
      <c r="K77" s="8"/>
      <c r="L77" s="8"/>
      <c r="M77" s="17">
        <v>2740286</v>
      </c>
      <c r="N77" s="17">
        <v>1597045</v>
      </c>
      <c r="O77" s="29">
        <v>775843</v>
      </c>
      <c r="P77" s="17">
        <v>1419542</v>
      </c>
      <c r="Q77" s="17">
        <v>1388404</v>
      </c>
      <c r="R77" s="17">
        <v>1469217</v>
      </c>
      <c r="S77" s="8"/>
      <c r="T77" s="8"/>
      <c r="U77" s="17">
        <v>10725170</v>
      </c>
      <c r="V77" s="17">
        <v>5799222</v>
      </c>
      <c r="W77" s="17">
        <v>4997455</v>
      </c>
      <c r="X77" s="17">
        <v>8544425</v>
      </c>
      <c r="Y77" s="17">
        <v>8692779</v>
      </c>
      <c r="Z77" s="17">
        <v>8809185</v>
      </c>
      <c r="AA77" s="8"/>
      <c r="AB77" s="8"/>
      <c r="AC77" s="17">
        <v>43643248</v>
      </c>
      <c r="AD77" s="17">
        <v>23467160</v>
      </c>
      <c r="AE77" s="17">
        <v>19258563</v>
      </c>
      <c r="AF77" s="17">
        <v>27525276</v>
      </c>
      <c r="AG77" s="17">
        <v>27455340</v>
      </c>
      <c r="AH77" s="17">
        <v>27930549</v>
      </c>
      <c r="AI77" s="9"/>
    </row>
    <row r="78" spans="2:35" x14ac:dyDescent="0.35">
      <c r="B78" s="10"/>
      <c r="C78" s="15"/>
      <c r="D78" s="16" t="s">
        <v>12</v>
      </c>
      <c r="E78" s="17">
        <v>262878</v>
      </c>
      <c r="F78" s="17">
        <v>124076</v>
      </c>
      <c r="G78" s="17">
        <v>63789</v>
      </c>
      <c r="H78" s="17">
        <v>38494</v>
      </c>
      <c r="I78" s="17">
        <v>44945</v>
      </c>
      <c r="J78" s="17">
        <v>39037</v>
      </c>
      <c r="K78" s="8"/>
      <c r="L78" s="8"/>
      <c r="M78" s="17">
        <v>2662799</v>
      </c>
      <c r="N78" s="17">
        <v>1599325</v>
      </c>
      <c r="O78" s="29">
        <v>777870</v>
      </c>
      <c r="P78" s="17">
        <v>1415415</v>
      </c>
      <c r="Q78" s="17">
        <v>1438386</v>
      </c>
      <c r="R78" s="17">
        <v>1452512</v>
      </c>
      <c r="S78" s="8"/>
      <c r="T78" s="8"/>
      <c r="U78" s="17">
        <v>11110152</v>
      </c>
      <c r="V78" s="17">
        <v>5888269</v>
      </c>
      <c r="W78" s="17">
        <v>5919298</v>
      </c>
      <c r="X78" s="17">
        <v>8535617</v>
      </c>
      <c r="Y78" s="17">
        <v>8729279</v>
      </c>
      <c r="Z78" s="17">
        <v>8779199</v>
      </c>
      <c r="AA78" s="8"/>
      <c r="AB78" s="8"/>
      <c r="AC78" s="17">
        <v>43428382</v>
      </c>
      <c r="AD78" s="17">
        <v>24265464</v>
      </c>
      <c r="AE78" s="17">
        <v>19685075</v>
      </c>
      <c r="AF78" s="17">
        <v>27366823</v>
      </c>
      <c r="AG78" s="17">
        <v>27477080</v>
      </c>
      <c r="AH78" s="17">
        <v>27852121</v>
      </c>
      <c r="AI78" s="9"/>
    </row>
    <row r="79" spans="2:35" x14ac:dyDescent="0.35">
      <c r="B79" s="10"/>
      <c r="C79" s="15"/>
      <c r="D79" s="16" t="s">
        <v>13</v>
      </c>
      <c r="E79" s="17">
        <v>245301</v>
      </c>
      <c r="F79" s="17">
        <v>125871</v>
      </c>
      <c r="G79" s="17">
        <v>63949</v>
      </c>
      <c r="H79" s="17">
        <v>36204</v>
      </c>
      <c r="I79" s="17">
        <v>46808</v>
      </c>
      <c r="J79" s="17">
        <v>37947</v>
      </c>
      <c r="K79" s="8"/>
      <c r="L79" s="8"/>
      <c r="M79" s="17">
        <v>2724249</v>
      </c>
      <c r="N79" s="17">
        <v>1591731</v>
      </c>
      <c r="O79" s="29">
        <v>775279</v>
      </c>
      <c r="P79" s="17">
        <v>1396476</v>
      </c>
      <c r="Q79" s="17">
        <v>1437481</v>
      </c>
      <c r="R79" s="17">
        <v>1489434</v>
      </c>
      <c r="S79" s="8"/>
      <c r="T79" s="8"/>
      <c r="U79" s="17">
        <v>11465040</v>
      </c>
      <c r="V79" s="17">
        <v>6117949</v>
      </c>
      <c r="W79" s="17">
        <v>4150206</v>
      </c>
      <c r="X79" s="17">
        <v>8677918</v>
      </c>
      <c r="Y79" s="17">
        <v>8662574</v>
      </c>
      <c r="Z79" s="17">
        <v>8817374</v>
      </c>
      <c r="AA79" s="8"/>
      <c r="AB79" s="8"/>
      <c r="AC79" s="17">
        <v>41879272</v>
      </c>
      <c r="AD79" s="17">
        <v>24044990</v>
      </c>
      <c r="AE79" s="17">
        <v>19935036</v>
      </c>
      <c r="AF79" s="17">
        <v>27699019</v>
      </c>
      <c r="AG79" s="17">
        <v>27601362</v>
      </c>
      <c r="AH79" s="17">
        <v>28091403</v>
      </c>
      <c r="AI79" s="9"/>
    </row>
    <row r="80" spans="2:35" x14ac:dyDescent="0.35">
      <c r="B80" s="10"/>
      <c r="C80" s="15"/>
      <c r="D80" s="16" t="s">
        <v>14</v>
      </c>
      <c r="E80" s="17">
        <v>233167</v>
      </c>
      <c r="F80" s="17">
        <v>123050</v>
      </c>
      <c r="G80" s="17">
        <v>64136</v>
      </c>
      <c r="H80" s="17">
        <v>35978</v>
      </c>
      <c r="I80" s="17">
        <v>52431</v>
      </c>
      <c r="J80" s="17">
        <v>38650</v>
      </c>
      <c r="K80" s="8"/>
      <c r="L80" s="8"/>
      <c r="M80" s="17">
        <v>2695302</v>
      </c>
      <c r="N80" s="17">
        <v>1523233</v>
      </c>
      <c r="O80" s="29">
        <v>817089</v>
      </c>
      <c r="P80" s="17">
        <v>1338240</v>
      </c>
      <c r="Q80" s="17">
        <v>1422791</v>
      </c>
      <c r="R80" s="17">
        <v>1405911</v>
      </c>
      <c r="S80" s="8"/>
      <c r="T80" s="8"/>
      <c r="U80" s="17">
        <v>11477506</v>
      </c>
      <c r="V80" s="17">
        <v>6700545</v>
      </c>
      <c r="W80" s="17">
        <v>4012396</v>
      </c>
      <c r="X80" s="17">
        <v>8627170</v>
      </c>
      <c r="Y80" s="17">
        <v>8657006</v>
      </c>
      <c r="Z80" s="17">
        <v>8822218</v>
      </c>
      <c r="AA80" s="8"/>
      <c r="AB80" s="8"/>
      <c r="AC80" s="17">
        <v>41847690</v>
      </c>
      <c r="AD80" s="17">
        <v>24198783</v>
      </c>
      <c r="AE80" s="17">
        <v>19639504</v>
      </c>
      <c r="AF80" s="17">
        <v>27069607</v>
      </c>
      <c r="AG80" s="17">
        <v>27290770</v>
      </c>
      <c r="AH80" s="17">
        <v>27711393</v>
      </c>
      <c r="AI80" s="9"/>
    </row>
    <row r="81" spans="2:35" x14ac:dyDescent="0.35">
      <c r="B81" s="10"/>
      <c r="C81" s="15"/>
      <c r="D81" s="16" t="s">
        <v>15</v>
      </c>
      <c r="E81" s="17">
        <v>238196</v>
      </c>
      <c r="F81" s="17">
        <v>121952</v>
      </c>
      <c r="G81" s="17">
        <v>66135</v>
      </c>
      <c r="H81" s="17">
        <v>50565</v>
      </c>
      <c r="I81" s="17">
        <v>46728</v>
      </c>
      <c r="J81" s="17">
        <v>38963</v>
      </c>
      <c r="K81" s="8"/>
      <c r="L81" s="8"/>
      <c r="M81" s="17">
        <v>2655721</v>
      </c>
      <c r="N81" s="17">
        <v>1596702</v>
      </c>
      <c r="O81" s="29">
        <v>902671</v>
      </c>
      <c r="P81" s="17">
        <v>1344331</v>
      </c>
      <c r="Q81" s="17">
        <v>1384767</v>
      </c>
      <c r="R81" s="17">
        <v>1419565</v>
      </c>
      <c r="S81" s="8"/>
      <c r="T81" s="8"/>
      <c r="U81" s="17">
        <v>10970731</v>
      </c>
      <c r="V81" s="17">
        <v>5595105</v>
      </c>
      <c r="W81" s="17">
        <v>4663661</v>
      </c>
      <c r="X81" s="17">
        <v>8609214</v>
      </c>
      <c r="Y81" s="17">
        <v>8550500</v>
      </c>
      <c r="Z81" s="17">
        <v>8895186</v>
      </c>
      <c r="AA81" s="8"/>
      <c r="AB81" s="8"/>
      <c r="AC81" s="17">
        <v>42166002</v>
      </c>
      <c r="AD81" s="17">
        <v>24226852</v>
      </c>
      <c r="AE81" s="17">
        <v>19299292</v>
      </c>
      <c r="AF81" s="17">
        <v>27634620</v>
      </c>
      <c r="AG81" s="17">
        <v>27561811</v>
      </c>
      <c r="AH81" s="17">
        <v>28041356</v>
      </c>
      <c r="AI81" s="9"/>
    </row>
    <row r="82" spans="2:35" x14ac:dyDescent="0.35">
      <c r="B82" s="10"/>
      <c r="C82" s="15"/>
      <c r="D82" s="16" t="s">
        <v>16</v>
      </c>
      <c r="E82" s="17">
        <v>234946</v>
      </c>
      <c r="F82" s="17">
        <v>127057</v>
      </c>
      <c r="G82" s="17">
        <v>64824</v>
      </c>
      <c r="H82" s="17">
        <v>58657</v>
      </c>
      <c r="I82" s="17">
        <v>44870</v>
      </c>
      <c r="J82" s="17">
        <v>38999</v>
      </c>
      <c r="K82" s="8"/>
      <c r="L82" s="8"/>
      <c r="M82" s="17">
        <v>2685583</v>
      </c>
      <c r="N82" s="17">
        <v>1570066</v>
      </c>
      <c r="O82" s="29">
        <v>911456</v>
      </c>
      <c r="P82" s="17">
        <v>1386698</v>
      </c>
      <c r="Q82" s="17">
        <v>1482667</v>
      </c>
      <c r="R82" s="17">
        <v>1516197</v>
      </c>
      <c r="S82" s="8"/>
      <c r="T82" s="8"/>
      <c r="U82" s="17">
        <v>11066687</v>
      </c>
      <c r="V82" s="17">
        <v>5706978</v>
      </c>
      <c r="W82" s="17">
        <v>4242860</v>
      </c>
      <c r="X82" s="17">
        <v>8746055</v>
      </c>
      <c r="Y82" s="17">
        <v>8749664</v>
      </c>
      <c r="Z82" s="17">
        <v>8858388</v>
      </c>
      <c r="AA82" s="8"/>
      <c r="AB82" s="8"/>
      <c r="AC82" s="17">
        <v>41886767</v>
      </c>
      <c r="AD82" s="17">
        <v>24063992</v>
      </c>
      <c r="AE82" s="17">
        <v>19899593</v>
      </c>
      <c r="AF82" s="17">
        <v>27013192</v>
      </c>
      <c r="AG82" s="17">
        <v>27351852</v>
      </c>
      <c r="AH82" s="17">
        <v>27902049</v>
      </c>
      <c r="AI82" s="9"/>
    </row>
    <row r="83" spans="2:35" x14ac:dyDescent="0.35">
      <c r="B83" s="10"/>
      <c r="C83" s="15"/>
      <c r="D83" s="16" t="s">
        <v>17</v>
      </c>
      <c r="E83" s="17">
        <v>240832</v>
      </c>
      <c r="F83" s="17">
        <v>126839</v>
      </c>
      <c r="G83" s="17">
        <v>67147</v>
      </c>
      <c r="H83" s="17">
        <v>52569</v>
      </c>
      <c r="I83" s="17">
        <v>44752</v>
      </c>
      <c r="J83" s="17">
        <v>39489</v>
      </c>
      <c r="K83" s="8"/>
      <c r="L83" s="8"/>
      <c r="M83" s="17">
        <v>2656412</v>
      </c>
      <c r="N83" s="17">
        <v>1534752</v>
      </c>
      <c r="O83" s="29">
        <v>910297</v>
      </c>
      <c r="P83" s="17">
        <v>1401480</v>
      </c>
      <c r="Q83" s="17">
        <v>1447067</v>
      </c>
      <c r="R83" s="17">
        <v>1405185</v>
      </c>
      <c r="S83" s="8"/>
      <c r="T83" s="8"/>
      <c r="U83" s="17">
        <v>11116685</v>
      </c>
      <c r="V83" s="17">
        <v>5706552</v>
      </c>
      <c r="W83" s="17">
        <v>4666195</v>
      </c>
      <c r="X83" s="17">
        <v>8470906</v>
      </c>
      <c r="Y83" s="17">
        <v>8739105</v>
      </c>
      <c r="Z83" s="17">
        <v>8837475</v>
      </c>
      <c r="AA83" s="8"/>
      <c r="AB83" s="8"/>
      <c r="AC83" s="17">
        <v>41915059</v>
      </c>
      <c r="AD83" s="17">
        <v>24390935</v>
      </c>
      <c r="AE83" s="17">
        <v>19572461</v>
      </c>
      <c r="AF83" s="17">
        <v>27684738</v>
      </c>
      <c r="AG83" s="17">
        <v>27488855</v>
      </c>
      <c r="AH83" s="17">
        <v>27995351</v>
      </c>
      <c r="AI83" s="9"/>
    </row>
    <row r="84" spans="2:35" x14ac:dyDescent="0.35">
      <c r="B84" s="10"/>
      <c r="C84" s="15"/>
      <c r="D84" s="16" t="s">
        <v>18</v>
      </c>
      <c r="E84" s="17">
        <v>240171</v>
      </c>
      <c r="F84" s="17">
        <v>123079</v>
      </c>
      <c r="G84" s="17">
        <v>64944</v>
      </c>
      <c r="H84" s="17">
        <v>34739</v>
      </c>
      <c r="I84" s="17">
        <v>44669</v>
      </c>
      <c r="J84" s="17">
        <v>38280</v>
      </c>
      <c r="K84" s="8"/>
      <c r="L84" s="8"/>
      <c r="M84" s="17">
        <v>2655876</v>
      </c>
      <c r="N84" s="17">
        <v>1531696</v>
      </c>
      <c r="O84" s="29">
        <v>914928</v>
      </c>
      <c r="P84" s="17">
        <v>1467015</v>
      </c>
      <c r="Q84" s="17">
        <v>1360738</v>
      </c>
      <c r="R84" s="17">
        <v>1401388</v>
      </c>
      <c r="S84" s="8"/>
      <c r="T84" s="8"/>
      <c r="U84" s="17">
        <v>11425219</v>
      </c>
      <c r="V84" s="17">
        <v>5688439</v>
      </c>
      <c r="W84" s="17">
        <v>4749123</v>
      </c>
      <c r="X84" s="17">
        <v>8634652</v>
      </c>
      <c r="Y84" s="17">
        <v>8659138</v>
      </c>
      <c r="Z84" s="17">
        <v>8842786</v>
      </c>
      <c r="AA84" s="8"/>
      <c r="AB84" s="8"/>
      <c r="AC84" s="17">
        <v>41804063</v>
      </c>
      <c r="AD84" s="17">
        <v>24331313</v>
      </c>
      <c r="AE84" s="17">
        <v>19390024</v>
      </c>
      <c r="AF84" s="17">
        <v>27276838</v>
      </c>
      <c r="AG84" s="17">
        <v>27184474</v>
      </c>
      <c r="AH84" s="17">
        <v>28471156</v>
      </c>
      <c r="AI84" s="9"/>
    </row>
    <row r="85" spans="2:35" x14ac:dyDescent="0.35">
      <c r="B85" s="10"/>
      <c r="C85" s="15"/>
      <c r="D85" s="16" t="s">
        <v>19</v>
      </c>
      <c r="E85" s="17">
        <v>232810</v>
      </c>
      <c r="F85" s="17">
        <v>124963</v>
      </c>
      <c r="G85" s="17">
        <v>63451</v>
      </c>
      <c r="H85" s="17">
        <v>36689</v>
      </c>
      <c r="I85" s="17">
        <v>44817</v>
      </c>
      <c r="J85" s="17">
        <v>39741</v>
      </c>
      <c r="K85" s="8"/>
      <c r="L85" s="8"/>
      <c r="M85" s="17">
        <v>2648854</v>
      </c>
      <c r="N85" s="17">
        <v>1535761</v>
      </c>
      <c r="O85" s="29">
        <v>931805</v>
      </c>
      <c r="P85" s="17">
        <v>1429698</v>
      </c>
      <c r="Q85" s="17">
        <v>1425626</v>
      </c>
      <c r="R85" s="17">
        <v>1422326</v>
      </c>
      <c r="S85" s="8"/>
      <c r="T85" s="8"/>
      <c r="U85" s="17">
        <v>12113514</v>
      </c>
      <c r="V85" s="17">
        <v>6571733</v>
      </c>
      <c r="W85" s="17">
        <v>4544010</v>
      </c>
      <c r="X85" s="17">
        <v>8694520</v>
      </c>
      <c r="Y85" s="17">
        <v>8752711</v>
      </c>
      <c r="Z85" s="17">
        <v>8838762</v>
      </c>
      <c r="AA85" s="8"/>
      <c r="AB85" s="8"/>
      <c r="AC85" s="17">
        <v>41879874</v>
      </c>
      <c r="AD85" s="17">
        <v>24185293</v>
      </c>
      <c r="AE85" s="17">
        <v>19277267</v>
      </c>
      <c r="AF85" s="17">
        <v>27134616</v>
      </c>
      <c r="AG85" s="17">
        <v>27676182</v>
      </c>
      <c r="AH85" s="17">
        <v>27996678</v>
      </c>
      <c r="AI85" s="9"/>
    </row>
    <row r="86" spans="2:35" x14ac:dyDescent="0.35">
      <c r="B86" s="10"/>
      <c r="C86" s="15"/>
      <c r="D86" s="16" t="s">
        <v>20</v>
      </c>
      <c r="E86" s="17">
        <v>238568</v>
      </c>
      <c r="F86" s="17">
        <v>124497</v>
      </c>
      <c r="G86" s="17">
        <v>63214</v>
      </c>
      <c r="H86" s="17">
        <v>36726</v>
      </c>
      <c r="I86" s="17">
        <v>48500</v>
      </c>
      <c r="J86" s="17">
        <v>38120</v>
      </c>
      <c r="K86" s="8"/>
      <c r="L86" s="8"/>
      <c r="M86" s="17">
        <v>2670018</v>
      </c>
      <c r="N86" s="17">
        <v>1529183</v>
      </c>
      <c r="O86" s="29">
        <v>929901</v>
      </c>
      <c r="P86" s="17">
        <v>1386679</v>
      </c>
      <c r="Q86" s="17">
        <v>1389560</v>
      </c>
      <c r="R86" s="17">
        <v>1412659</v>
      </c>
      <c r="S86" s="8"/>
      <c r="T86" s="8"/>
      <c r="U86" s="17">
        <v>12227786</v>
      </c>
      <c r="V86" s="17">
        <v>6803111</v>
      </c>
      <c r="W86" s="17">
        <v>4626941</v>
      </c>
      <c r="X86" s="17">
        <v>8355057</v>
      </c>
      <c r="Y86" s="17">
        <v>8725145</v>
      </c>
      <c r="Z86" s="17">
        <v>8817560</v>
      </c>
      <c r="AA86" s="8"/>
      <c r="AB86" s="8"/>
      <c r="AC86" s="17">
        <v>41959013</v>
      </c>
      <c r="AD86" s="17">
        <v>24032675</v>
      </c>
      <c r="AE86" s="17">
        <v>19656788</v>
      </c>
      <c r="AF86" s="17">
        <v>27714770</v>
      </c>
      <c r="AG86" s="17">
        <v>27273778</v>
      </c>
      <c r="AH86" s="17">
        <v>28340097</v>
      </c>
      <c r="AI86" s="9"/>
    </row>
    <row r="87" spans="2:35" x14ac:dyDescent="0.35">
      <c r="B87" s="10"/>
      <c r="C87" s="15"/>
      <c r="D87" s="16" t="s">
        <v>21</v>
      </c>
      <c r="E87" s="17">
        <v>240934</v>
      </c>
      <c r="F87" s="17">
        <v>127022</v>
      </c>
      <c r="G87" s="17">
        <v>64592</v>
      </c>
      <c r="H87" s="17">
        <v>36704</v>
      </c>
      <c r="I87" s="17">
        <v>41462</v>
      </c>
      <c r="J87" s="17">
        <v>38792</v>
      </c>
      <c r="K87" s="8"/>
      <c r="L87" s="8"/>
      <c r="M87" s="17">
        <v>2666050</v>
      </c>
      <c r="N87" s="17">
        <v>1605133</v>
      </c>
      <c r="O87" s="29">
        <v>950717</v>
      </c>
      <c r="P87" s="17">
        <v>1319739</v>
      </c>
      <c r="Q87" s="17">
        <v>1463686</v>
      </c>
      <c r="R87" s="17">
        <v>1460683</v>
      </c>
      <c r="S87" s="8"/>
      <c r="T87" s="8"/>
      <c r="U87" s="17">
        <v>11875882</v>
      </c>
      <c r="V87" s="17">
        <v>5828632</v>
      </c>
      <c r="W87" s="17">
        <v>4782239</v>
      </c>
      <c r="X87" s="17">
        <v>8579780</v>
      </c>
      <c r="Y87" s="17">
        <v>8673854</v>
      </c>
      <c r="Z87" s="17">
        <v>8865777</v>
      </c>
      <c r="AA87" s="8"/>
      <c r="AB87" s="8"/>
      <c r="AC87" s="17">
        <v>42054772</v>
      </c>
      <c r="AD87" s="17">
        <v>23875808</v>
      </c>
      <c r="AE87" s="17">
        <v>19134674</v>
      </c>
      <c r="AF87" s="17">
        <v>27610229</v>
      </c>
      <c r="AG87" s="17">
        <v>27304992</v>
      </c>
      <c r="AH87" s="17">
        <v>27774075</v>
      </c>
      <c r="AI87" s="9"/>
    </row>
    <row r="88" spans="2:35" x14ac:dyDescent="0.35">
      <c r="B88" s="10"/>
      <c r="C88" s="15"/>
      <c r="D88" s="16" t="s">
        <v>22</v>
      </c>
      <c r="E88" s="17">
        <v>238506</v>
      </c>
      <c r="F88" s="17">
        <v>126847</v>
      </c>
      <c r="G88" s="17">
        <v>63893</v>
      </c>
      <c r="H88" s="17">
        <v>35469</v>
      </c>
      <c r="I88" s="17">
        <v>42163</v>
      </c>
      <c r="J88" s="17">
        <v>38681</v>
      </c>
      <c r="K88" s="8"/>
      <c r="L88" s="8"/>
      <c r="M88" s="17">
        <v>2660821</v>
      </c>
      <c r="N88" s="17">
        <v>1597089</v>
      </c>
      <c r="O88" s="29">
        <v>974966</v>
      </c>
      <c r="P88" s="17">
        <v>1464767</v>
      </c>
      <c r="Q88" s="17">
        <v>1457029</v>
      </c>
      <c r="R88" s="17">
        <v>1488984</v>
      </c>
      <c r="S88" s="8"/>
      <c r="T88" s="8"/>
      <c r="U88" s="17">
        <v>11988682</v>
      </c>
      <c r="V88" s="17">
        <v>6075143</v>
      </c>
      <c r="W88" s="17">
        <v>4651622</v>
      </c>
      <c r="X88" s="17">
        <v>8591569</v>
      </c>
      <c r="Y88" s="17">
        <v>8713705</v>
      </c>
      <c r="Z88" s="17">
        <v>8839963</v>
      </c>
      <c r="AA88" s="8"/>
      <c r="AB88" s="8"/>
      <c r="AC88" s="17">
        <v>41901959</v>
      </c>
      <c r="AD88" s="17">
        <v>24495823</v>
      </c>
      <c r="AE88" s="17">
        <v>19383876</v>
      </c>
      <c r="AF88" s="17">
        <v>27103694</v>
      </c>
      <c r="AG88" s="17">
        <v>27411989</v>
      </c>
      <c r="AH88" s="17">
        <v>27991105</v>
      </c>
      <c r="AI88" s="9"/>
    </row>
    <row r="89" spans="2:35" x14ac:dyDescent="0.35">
      <c r="B89" s="10"/>
      <c r="C89" s="15"/>
      <c r="D89" s="16" t="s">
        <v>23</v>
      </c>
      <c r="E89" s="17">
        <v>232852</v>
      </c>
      <c r="F89" s="17">
        <v>124958</v>
      </c>
      <c r="G89" s="17">
        <v>64012</v>
      </c>
      <c r="H89" s="17">
        <v>37079</v>
      </c>
      <c r="I89" s="17">
        <v>41896</v>
      </c>
      <c r="J89" s="17">
        <v>39593</v>
      </c>
      <c r="K89" s="8"/>
      <c r="L89" s="8"/>
      <c r="M89" s="17">
        <v>2670084</v>
      </c>
      <c r="N89" s="17">
        <v>1609147</v>
      </c>
      <c r="O89" s="29">
        <v>977496</v>
      </c>
      <c r="P89" s="17">
        <v>1384138</v>
      </c>
      <c r="Q89" s="17">
        <v>1397580</v>
      </c>
      <c r="R89" s="17">
        <v>1437876</v>
      </c>
      <c r="S89" s="8"/>
      <c r="T89" s="8"/>
      <c r="U89" s="17">
        <v>12277891</v>
      </c>
      <c r="V89" s="17">
        <v>5891697</v>
      </c>
      <c r="W89" s="17">
        <v>4848134</v>
      </c>
      <c r="X89" s="17">
        <v>9272748</v>
      </c>
      <c r="Y89" s="17">
        <v>8573392</v>
      </c>
      <c r="Z89" s="17">
        <v>8812865</v>
      </c>
      <c r="AA89" s="8"/>
      <c r="AB89" s="8"/>
      <c r="AC89" s="17">
        <v>41934291</v>
      </c>
      <c r="AD89" s="17">
        <v>24229497</v>
      </c>
      <c r="AE89" s="17">
        <v>19198644</v>
      </c>
      <c r="AF89" s="17">
        <v>27271028</v>
      </c>
      <c r="AG89" s="17">
        <v>27131964</v>
      </c>
      <c r="AH89" s="17">
        <v>27854248</v>
      </c>
      <c r="AI89" s="9"/>
    </row>
    <row r="90" spans="2:35" x14ac:dyDescent="0.35">
      <c r="B90" s="10"/>
      <c r="C90" s="15"/>
      <c r="D90" s="16" t="s">
        <v>24</v>
      </c>
      <c r="E90" s="17">
        <v>244728</v>
      </c>
      <c r="F90" s="17">
        <v>124910</v>
      </c>
      <c r="G90" s="17">
        <v>63987</v>
      </c>
      <c r="H90" s="17">
        <v>34850</v>
      </c>
      <c r="I90" s="17">
        <v>42316</v>
      </c>
      <c r="J90" s="17">
        <v>39254</v>
      </c>
      <c r="K90" s="8"/>
      <c r="L90" s="8"/>
      <c r="M90" s="17">
        <v>2666279</v>
      </c>
      <c r="N90" s="17">
        <v>1599632</v>
      </c>
      <c r="O90" s="29">
        <v>970536</v>
      </c>
      <c r="P90" s="17">
        <v>1392773</v>
      </c>
      <c r="Q90" s="17">
        <v>1485426</v>
      </c>
      <c r="R90" s="17">
        <v>1445188</v>
      </c>
      <c r="S90" s="8"/>
      <c r="T90" s="8"/>
      <c r="U90" s="17">
        <v>11413824</v>
      </c>
      <c r="V90" s="17">
        <v>5860167</v>
      </c>
      <c r="W90" s="17">
        <v>5040004</v>
      </c>
      <c r="X90" s="17">
        <v>8881734</v>
      </c>
      <c r="Y90" s="17">
        <v>8468988</v>
      </c>
      <c r="Z90" s="17">
        <v>8755026</v>
      </c>
      <c r="AA90" s="8"/>
      <c r="AB90" s="8"/>
      <c r="AC90" s="17">
        <v>42079022</v>
      </c>
      <c r="AD90" s="17">
        <v>23924690</v>
      </c>
      <c r="AE90" s="17">
        <v>19596335</v>
      </c>
      <c r="AF90" s="17">
        <v>27198517</v>
      </c>
      <c r="AG90" s="17">
        <v>27180738</v>
      </c>
      <c r="AH90" s="17">
        <v>27823444</v>
      </c>
      <c r="AI90" s="9"/>
    </row>
    <row r="91" spans="2:35" x14ac:dyDescent="0.35">
      <c r="B91" s="10"/>
      <c r="C91" s="15"/>
      <c r="D91" s="16" t="s">
        <v>25</v>
      </c>
      <c r="E91" s="17">
        <v>286667</v>
      </c>
      <c r="F91" s="17">
        <v>119281</v>
      </c>
      <c r="G91" s="17">
        <v>63668</v>
      </c>
      <c r="H91" s="17">
        <v>36669</v>
      </c>
      <c r="I91" s="17">
        <v>44824</v>
      </c>
      <c r="J91" s="17">
        <v>38521</v>
      </c>
      <c r="K91" s="8"/>
      <c r="L91" s="8"/>
      <c r="M91" s="17">
        <v>2647940</v>
      </c>
      <c r="N91" s="17">
        <v>1596969</v>
      </c>
      <c r="O91" s="29">
        <v>974673</v>
      </c>
      <c r="P91" s="17">
        <v>1365932</v>
      </c>
      <c r="Q91" s="17">
        <v>1356956</v>
      </c>
      <c r="R91" s="17">
        <v>1408149</v>
      </c>
      <c r="S91" s="8"/>
      <c r="T91" s="8"/>
      <c r="U91" s="17">
        <v>11392850</v>
      </c>
      <c r="V91" s="17">
        <v>5902618</v>
      </c>
      <c r="W91" s="17">
        <v>4948902</v>
      </c>
      <c r="X91" s="17">
        <v>8614513</v>
      </c>
      <c r="Y91" s="17">
        <v>8679301</v>
      </c>
      <c r="Z91" s="17">
        <v>8824753</v>
      </c>
      <c r="AA91" s="8"/>
      <c r="AB91" s="8"/>
      <c r="AC91" s="17">
        <v>41927745</v>
      </c>
      <c r="AD91" s="17">
        <v>24719653</v>
      </c>
      <c r="AE91" s="17">
        <v>19691007</v>
      </c>
      <c r="AF91" s="17">
        <v>27443644</v>
      </c>
      <c r="AG91" s="17">
        <v>27484260</v>
      </c>
      <c r="AH91" s="17">
        <v>27893671</v>
      </c>
      <c r="AI91" s="9"/>
    </row>
    <row r="92" spans="2:35" x14ac:dyDescent="0.35">
      <c r="B92" s="10"/>
      <c r="C92" s="15"/>
      <c r="D92" s="16" t="s">
        <v>26</v>
      </c>
      <c r="E92" s="17">
        <v>285830</v>
      </c>
      <c r="F92" s="17">
        <v>124323</v>
      </c>
      <c r="G92" s="17">
        <v>63716</v>
      </c>
      <c r="H92" s="17">
        <v>38332</v>
      </c>
      <c r="I92" s="17">
        <v>45479</v>
      </c>
      <c r="J92" s="17">
        <v>38244</v>
      </c>
      <c r="K92" s="8"/>
      <c r="L92" s="8"/>
      <c r="M92" s="17">
        <v>2663820</v>
      </c>
      <c r="N92" s="17">
        <v>1537502</v>
      </c>
      <c r="O92" s="29">
        <v>976313</v>
      </c>
      <c r="P92" s="17">
        <v>1326391</v>
      </c>
      <c r="Q92" s="17">
        <v>1399904</v>
      </c>
      <c r="R92" s="17">
        <v>1428697</v>
      </c>
      <c r="S92" s="8"/>
      <c r="T92" s="8"/>
      <c r="U92" s="17">
        <v>10975078</v>
      </c>
      <c r="V92" s="17">
        <v>6095598</v>
      </c>
      <c r="W92" s="17">
        <v>4618276</v>
      </c>
      <c r="X92" s="17">
        <v>9275482</v>
      </c>
      <c r="Y92" s="17">
        <v>8679821</v>
      </c>
      <c r="Z92" s="17">
        <v>8841074</v>
      </c>
      <c r="AA92" s="8"/>
      <c r="AB92" s="8"/>
      <c r="AC92" s="17">
        <v>41761871</v>
      </c>
      <c r="AD92" s="17">
        <v>24614961</v>
      </c>
      <c r="AE92" s="17">
        <v>19615914</v>
      </c>
      <c r="AF92" s="17">
        <v>27230187</v>
      </c>
      <c r="AG92" s="17">
        <v>27706313</v>
      </c>
      <c r="AH92" s="17">
        <v>28122691</v>
      </c>
      <c r="AI92" s="9"/>
    </row>
    <row r="93" spans="2:35" x14ac:dyDescent="0.35">
      <c r="B93" s="10"/>
      <c r="C93" s="15"/>
      <c r="D93" s="16" t="s">
        <v>27</v>
      </c>
      <c r="E93" s="17">
        <v>289863</v>
      </c>
      <c r="F93" s="17">
        <v>123450</v>
      </c>
      <c r="G93" s="17">
        <v>63654</v>
      </c>
      <c r="H93" s="17">
        <v>36843</v>
      </c>
      <c r="I93" s="17">
        <v>43463</v>
      </c>
      <c r="J93" s="17">
        <v>38510</v>
      </c>
      <c r="K93" s="8"/>
      <c r="L93" s="8"/>
      <c r="M93" s="17">
        <v>2730260</v>
      </c>
      <c r="N93" s="17">
        <v>1586228</v>
      </c>
      <c r="O93" s="29">
        <v>975504</v>
      </c>
      <c r="P93" s="17">
        <v>1360909</v>
      </c>
      <c r="Q93" s="17">
        <v>1397050</v>
      </c>
      <c r="R93" s="17">
        <v>1428269</v>
      </c>
      <c r="S93" s="8"/>
      <c r="T93" s="8"/>
      <c r="U93" s="17">
        <v>10758095</v>
      </c>
      <c r="V93" s="17">
        <v>6201491</v>
      </c>
      <c r="W93" s="17">
        <v>4149712</v>
      </c>
      <c r="X93" s="17">
        <v>8637102</v>
      </c>
      <c r="Y93" s="17">
        <v>8722644</v>
      </c>
      <c r="Z93" s="17">
        <v>8933965</v>
      </c>
      <c r="AA93" s="8"/>
      <c r="AB93" s="8"/>
      <c r="AC93" s="17">
        <v>41851786</v>
      </c>
      <c r="AD93" s="17">
        <v>24652017</v>
      </c>
      <c r="AE93" s="17">
        <v>19902807</v>
      </c>
      <c r="AF93" s="17">
        <v>27088337</v>
      </c>
      <c r="AG93" s="17">
        <v>27296507</v>
      </c>
      <c r="AH93" s="17">
        <v>27669325</v>
      </c>
      <c r="AI93" s="9"/>
    </row>
    <row r="94" spans="2:35" x14ac:dyDescent="0.35">
      <c r="B94" s="10"/>
      <c r="C94" s="15"/>
      <c r="D94" s="16" t="s">
        <v>28</v>
      </c>
      <c r="E94" s="17">
        <v>277734</v>
      </c>
      <c r="F94" s="17">
        <v>122917</v>
      </c>
      <c r="G94" s="17">
        <v>65784</v>
      </c>
      <c r="H94" s="17">
        <v>37081</v>
      </c>
      <c r="I94" s="17">
        <v>42740</v>
      </c>
      <c r="J94" s="17">
        <v>38912</v>
      </c>
      <c r="K94" s="8"/>
      <c r="L94" s="8"/>
      <c r="M94" s="17">
        <v>2720422</v>
      </c>
      <c r="N94" s="17">
        <v>1522418</v>
      </c>
      <c r="O94" s="29">
        <v>971685</v>
      </c>
      <c r="P94" s="17">
        <v>1393389</v>
      </c>
      <c r="Q94" s="17">
        <v>1424313</v>
      </c>
      <c r="R94" s="17">
        <v>1445453</v>
      </c>
      <c r="S94" s="8"/>
      <c r="T94" s="8"/>
      <c r="U94" s="17">
        <v>10805711</v>
      </c>
      <c r="V94" s="17">
        <v>5974485</v>
      </c>
      <c r="W94" s="17">
        <v>4332536</v>
      </c>
      <c r="X94" s="17">
        <v>8864980</v>
      </c>
      <c r="Y94" s="17">
        <v>8858702</v>
      </c>
      <c r="Z94" s="17">
        <v>8815806</v>
      </c>
      <c r="AA94" s="8"/>
      <c r="AB94" s="8"/>
      <c r="AC94" s="17">
        <v>41920517</v>
      </c>
      <c r="AD94" s="17">
        <v>24523211</v>
      </c>
      <c r="AE94" s="17">
        <v>20296127</v>
      </c>
      <c r="AF94" s="17">
        <v>26667277</v>
      </c>
      <c r="AG94" s="17">
        <v>27303985</v>
      </c>
      <c r="AH94" s="17">
        <v>28198481</v>
      </c>
      <c r="AI94" s="9"/>
    </row>
    <row r="95" spans="2:35" x14ac:dyDescent="0.35">
      <c r="B95" s="10"/>
      <c r="C95" s="15"/>
      <c r="D95" s="16" t="s">
        <v>29</v>
      </c>
      <c r="E95" s="17">
        <v>273223</v>
      </c>
      <c r="F95" s="17">
        <v>132464</v>
      </c>
      <c r="G95" s="17">
        <v>63971</v>
      </c>
      <c r="H95" s="17">
        <v>38946</v>
      </c>
      <c r="I95" s="17">
        <v>40678</v>
      </c>
      <c r="J95" s="17">
        <v>38142</v>
      </c>
      <c r="K95" s="8"/>
      <c r="L95" s="8"/>
      <c r="M95" s="17">
        <v>2830906</v>
      </c>
      <c r="N95" s="17">
        <v>1528487</v>
      </c>
      <c r="O95" s="29">
        <v>975052</v>
      </c>
      <c r="P95" s="17">
        <v>1326435</v>
      </c>
      <c r="Q95" s="17">
        <v>1382249</v>
      </c>
      <c r="R95" s="17">
        <v>1413518</v>
      </c>
      <c r="S95" s="8"/>
      <c r="T95" s="8"/>
      <c r="U95" s="17">
        <v>10946126</v>
      </c>
      <c r="V95" s="17">
        <v>6111337</v>
      </c>
      <c r="W95" s="17">
        <v>4593585</v>
      </c>
      <c r="X95" s="17">
        <v>8518926</v>
      </c>
      <c r="Y95" s="17">
        <v>8709797</v>
      </c>
      <c r="Z95" s="17">
        <v>8857573</v>
      </c>
      <c r="AA95" s="8"/>
      <c r="AB95" s="8"/>
      <c r="AC95" s="17">
        <v>42274356</v>
      </c>
      <c r="AD95" s="17">
        <v>24496558</v>
      </c>
      <c r="AE95" s="17">
        <v>19137053</v>
      </c>
      <c r="AF95" s="17">
        <v>27053272</v>
      </c>
      <c r="AG95" s="17">
        <v>27260188</v>
      </c>
      <c r="AH95" s="17">
        <v>27914005</v>
      </c>
      <c r="AI95" s="9"/>
    </row>
    <row r="96" spans="2:35" x14ac:dyDescent="0.35">
      <c r="B96" s="10"/>
      <c r="C96" s="15"/>
      <c r="D96" s="16" t="s">
        <v>30</v>
      </c>
      <c r="E96" s="17">
        <v>274682</v>
      </c>
      <c r="F96" s="17">
        <v>127857</v>
      </c>
      <c r="G96" s="17">
        <v>63547</v>
      </c>
      <c r="H96" s="17">
        <v>36495</v>
      </c>
      <c r="I96" s="17">
        <v>41027</v>
      </c>
      <c r="J96" s="17">
        <v>38024</v>
      </c>
      <c r="K96" s="8"/>
      <c r="L96" s="8"/>
      <c r="M96" s="17">
        <v>2724711</v>
      </c>
      <c r="N96" s="17">
        <v>1612833</v>
      </c>
      <c r="O96" s="29">
        <v>975601</v>
      </c>
      <c r="P96" s="17">
        <v>1346142</v>
      </c>
      <c r="Q96" s="17">
        <v>1403077</v>
      </c>
      <c r="R96" s="17">
        <v>1462347</v>
      </c>
      <c r="S96" s="8"/>
      <c r="T96" s="8"/>
      <c r="U96" s="17">
        <v>11136490</v>
      </c>
      <c r="V96" s="17">
        <v>5889917</v>
      </c>
      <c r="W96" s="17">
        <v>4025028</v>
      </c>
      <c r="X96" s="17">
        <v>8538828</v>
      </c>
      <c r="Y96" s="17">
        <v>8605606</v>
      </c>
      <c r="Z96" s="17">
        <v>8806407</v>
      </c>
      <c r="AA96" s="8"/>
      <c r="AB96" s="8"/>
      <c r="AC96" s="17">
        <v>41924481</v>
      </c>
      <c r="AD96" s="17">
        <v>24761080</v>
      </c>
      <c r="AE96" s="17">
        <v>19542069</v>
      </c>
      <c r="AF96" s="17">
        <v>26906816</v>
      </c>
      <c r="AG96" s="17">
        <v>27424586</v>
      </c>
      <c r="AH96" s="17">
        <v>28101409</v>
      </c>
      <c r="AI96" s="9"/>
    </row>
    <row r="97" spans="2:35" x14ac:dyDescent="0.35">
      <c r="B97" s="10"/>
      <c r="C97" s="15"/>
      <c r="D97" s="16" t="s">
        <v>31</v>
      </c>
      <c r="E97" s="17">
        <v>282151</v>
      </c>
      <c r="F97" s="17">
        <v>118993</v>
      </c>
      <c r="G97" s="17">
        <v>63356</v>
      </c>
      <c r="H97" s="17">
        <v>37498</v>
      </c>
      <c r="I97" s="17">
        <v>41865</v>
      </c>
      <c r="J97" s="17">
        <v>39057</v>
      </c>
      <c r="K97" s="8"/>
      <c r="L97" s="8"/>
      <c r="M97" s="17">
        <v>2697366</v>
      </c>
      <c r="N97" s="17">
        <v>1550129</v>
      </c>
      <c r="O97" s="29">
        <v>977089</v>
      </c>
      <c r="P97" s="17">
        <v>1322382</v>
      </c>
      <c r="Q97" s="17">
        <v>1410469</v>
      </c>
      <c r="R97" s="17">
        <v>1449109</v>
      </c>
      <c r="S97" s="8"/>
      <c r="T97" s="8"/>
      <c r="U97" s="17">
        <v>10875625</v>
      </c>
      <c r="V97" s="17">
        <v>6026628</v>
      </c>
      <c r="W97" s="17">
        <v>4150059</v>
      </c>
      <c r="X97" s="17">
        <v>8606169</v>
      </c>
      <c r="Y97" s="17">
        <v>8792573</v>
      </c>
      <c r="Z97" s="17">
        <v>8832723</v>
      </c>
      <c r="AA97" s="8"/>
      <c r="AB97" s="8"/>
      <c r="AC97" s="17">
        <v>41914790</v>
      </c>
      <c r="AD97" s="17">
        <v>24037833</v>
      </c>
      <c r="AE97" s="17">
        <v>19134805</v>
      </c>
      <c r="AF97" s="17">
        <v>27266184</v>
      </c>
      <c r="AG97" s="17">
        <v>27445267</v>
      </c>
      <c r="AH97" s="17">
        <v>27992883</v>
      </c>
      <c r="AI97" s="9"/>
    </row>
    <row r="98" spans="2:35" x14ac:dyDescent="0.35">
      <c r="B98" s="10"/>
      <c r="C98" s="15"/>
      <c r="D98" s="16" t="s">
        <v>32</v>
      </c>
      <c r="E98" s="17">
        <v>286221</v>
      </c>
      <c r="F98" s="17">
        <v>118045</v>
      </c>
      <c r="G98" s="17">
        <v>63323</v>
      </c>
      <c r="H98" s="17">
        <v>38293</v>
      </c>
      <c r="I98" s="17">
        <v>44779</v>
      </c>
      <c r="J98" s="17">
        <v>36863</v>
      </c>
      <c r="K98" s="8"/>
      <c r="L98" s="8"/>
      <c r="M98" s="17">
        <v>2675464</v>
      </c>
      <c r="N98" s="17">
        <v>1608063</v>
      </c>
      <c r="O98" s="29">
        <v>971391</v>
      </c>
      <c r="P98" s="17">
        <v>1477497</v>
      </c>
      <c r="Q98" s="17">
        <v>1412882</v>
      </c>
      <c r="R98" s="17">
        <v>1388402</v>
      </c>
      <c r="S98" s="8"/>
      <c r="T98" s="8"/>
      <c r="U98" s="17">
        <v>11065125</v>
      </c>
      <c r="V98" s="17">
        <v>5811362</v>
      </c>
      <c r="W98" s="17">
        <v>4058908</v>
      </c>
      <c r="X98" s="17">
        <v>8615227</v>
      </c>
      <c r="Y98" s="17">
        <v>8744711</v>
      </c>
      <c r="Z98" s="17">
        <v>8778228</v>
      </c>
      <c r="AA98" s="8"/>
      <c r="AB98" s="8"/>
      <c r="AC98" s="17">
        <v>41953669</v>
      </c>
      <c r="AD98" s="17">
        <v>24283823</v>
      </c>
      <c r="AE98" s="17">
        <v>18996863</v>
      </c>
      <c r="AF98" s="17">
        <v>26920737</v>
      </c>
      <c r="AG98" s="17">
        <v>27486721</v>
      </c>
      <c r="AH98" s="17">
        <v>28001897</v>
      </c>
      <c r="AI98" s="9"/>
    </row>
    <row r="99" spans="2:35" x14ac:dyDescent="0.35">
      <c r="B99" s="10"/>
      <c r="C99" s="15"/>
      <c r="D99" s="16" t="s">
        <v>33</v>
      </c>
      <c r="E99" s="17">
        <v>231879</v>
      </c>
      <c r="F99" s="17">
        <v>123810</v>
      </c>
      <c r="G99" s="17">
        <v>63837</v>
      </c>
      <c r="H99" s="17">
        <v>37531</v>
      </c>
      <c r="I99" s="17">
        <v>41637</v>
      </c>
      <c r="J99" s="17">
        <v>36935</v>
      </c>
      <c r="K99" s="8"/>
      <c r="L99" s="8"/>
      <c r="M99" s="17">
        <v>2689261</v>
      </c>
      <c r="N99" s="17">
        <v>1562661</v>
      </c>
      <c r="O99" s="29">
        <v>977164</v>
      </c>
      <c r="P99" s="17">
        <v>1447081</v>
      </c>
      <c r="Q99" s="17">
        <v>1450394</v>
      </c>
      <c r="R99" s="17">
        <v>1492655</v>
      </c>
      <c r="S99" s="8"/>
      <c r="T99" s="8"/>
      <c r="U99" s="17">
        <v>10802804</v>
      </c>
      <c r="V99" s="17">
        <v>5858597</v>
      </c>
      <c r="W99" s="17">
        <v>4691521</v>
      </c>
      <c r="X99" s="17">
        <v>8585321</v>
      </c>
      <c r="Y99" s="17">
        <v>8578086</v>
      </c>
      <c r="Z99" s="17">
        <v>8875595</v>
      </c>
      <c r="AA99" s="8"/>
      <c r="AB99" s="8"/>
      <c r="AC99" s="17">
        <v>42106701</v>
      </c>
      <c r="AD99" s="17">
        <v>24319404</v>
      </c>
      <c r="AE99" s="17">
        <v>19966264</v>
      </c>
      <c r="AF99" s="17">
        <v>26946937</v>
      </c>
      <c r="AG99" s="17">
        <v>27218848</v>
      </c>
      <c r="AH99" s="17">
        <v>27699980</v>
      </c>
      <c r="AI99" s="9"/>
    </row>
    <row r="100" spans="2:35" x14ac:dyDescent="0.35">
      <c r="B100" s="10"/>
      <c r="C100" s="15"/>
      <c r="D100" s="16" t="s">
        <v>34</v>
      </c>
      <c r="E100" s="17">
        <v>231740</v>
      </c>
      <c r="F100" s="17">
        <v>123796</v>
      </c>
      <c r="G100" s="17">
        <v>63280</v>
      </c>
      <c r="H100" s="17">
        <v>38195</v>
      </c>
      <c r="I100" s="17">
        <v>52146</v>
      </c>
      <c r="J100" s="17">
        <v>37521</v>
      </c>
      <c r="K100" s="8"/>
      <c r="L100" s="8"/>
      <c r="M100" s="17">
        <v>2676687</v>
      </c>
      <c r="N100" s="17">
        <v>1592995</v>
      </c>
      <c r="O100" s="29">
        <v>972232</v>
      </c>
      <c r="P100" s="17">
        <v>1328762</v>
      </c>
      <c r="Q100" s="17">
        <v>1359715</v>
      </c>
      <c r="R100" s="17">
        <v>1510175</v>
      </c>
      <c r="S100" s="8"/>
      <c r="T100" s="8"/>
      <c r="U100" s="17">
        <v>11011230</v>
      </c>
      <c r="V100" s="17">
        <v>5752015</v>
      </c>
      <c r="W100" s="17">
        <v>4005675</v>
      </c>
      <c r="X100" s="17">
        <v>8598257</v>
      </c>
      <c r="Y100" s="17">
        <v>8728590</v>
      </c>
      <c r="Z100" s="17">
        <v>8809156</v>
      </c>
      <c r="AA100" s="8"/>
      <c r="AB100" s="8"/>
      <c r="AC100" s="17">
        <v>41876771</v>
      </c>
      <c r="AD100" s="17">
        <v>24342633</v>
      </c>
      <c r="AE100" s="17">
        <v>19644210</v>
      </c>
      <c r="AF100" s="17">
        <v>27318284</v>
      </c>
      <c r="AG100" s="17">
        <v>27125642</v>
      </c>
      <c r="AH100" s="17">
        <v>28023614</v>
      </c>
      <c r="AI100" s="9"/>
    </row>
    <row r="101" spans="2:35" x14ac:dyDescent="0.35">
      <c r="B101" s="10"/>
      <c r="C101" s="15"/>
      <c r="D101" s="16" t="s">
        <v>35</v>
      </c>
      <c r="E101" s="17">
        <v>259519</v>
      </c>
      <c r="F101" s="17">
        <v>123119</v>
      </c>
      <c r="G101" s="17">
        <v>63664</v>
      </c>
      <c r="H101" s="17">
        <v>38343</v>
      </c>
      <c r="I101" s="17">
        <v>49898</v>
      </c>
      <c r="J101" s="17">
        <v>37542</v>
      </c>
      <c r="K101" s="8"/>
      <c r="L101" s="8"/>
      <c r="M101" s="17">
        <v>2680654</v>
      </c>
      <c r="N101" s="17">
        <v>1602545</v>
      </c>
      <c r="O101" s="29">
        <v>972821</v>
      </c>
      <c r="P101" s="17">
        <v>1478527</v>
      </c>
      <c r="Q101" s="17">
        <v>1569033</v>
      </c>
      <c r="R101" s="17">
        <v>1498362</v>
      </c>
      <c r="S101" s="8"/>
      <c r="T101" s="8"/>
      <c r="U101" s="17">
        <v>11118548</v>
      </c>
      <c r="V101" s="17">
        <v>5652922</v>
      </c>
      <c r="W101" s="17">
        <v>4031014</v>
      </c>
      <c r="X101" s="17">
        <v>8578790</v>
      </c>
      <c r="Y101" s="17">
        <v>8709924</v>
      </c>
      <c r="Z101" s="17">
        <v>8826664</v>
      </c>
      <c r="AA101" s="8"/>
      <c r="AB101" s="8"/>
      <c r="AC101" s="17">
        <v>41724052</v>
      </c>
      <c r="AD101" s="17">
        <v>24201172</v>
      </c>
      <c r="AE101" s="17">
        <v>19069309</v>
      </c>
      <c r="AF101" s="17">
        <v>26990130</v>
      </c>
      <c r="AG101" s="17">
        <v>27282226</v>
      </c>
      <c r="AH101" s="17">
        <v>27939444</v>
      </c>
      <c r="AI101" s="9"/>
    </row>
    <row r="102" spans="2:35" x14ac:dyDescent="0.35">
      <c r="B102" s="10"/>
      <c r="C102" s="15"/>
      <c r="D102" s="16" t="s">
        <v>36</v>
      </c>
      <c r="E102" s="17">
        <v>232975</v>
      </c>
      <c r="F102" s="17">
        <v>128599</v>
      </c>
      <c r="G102" s="17">
        <v>64489</v>
      </c>
      <c r="H102" s="17">
        <v>36639</v>
      </c>
      <c r="I102" s="17">
        <v>48148</v>
      </c>
      <c r="J102" s="17">
        <v>37557</v>
      </c>
      <c r="K102" s="8"/>
      <c r="L102" s="8"/>
      <c r="M102" s="17">
        <v>2683394</v>
      </c>
      <c r="N102" s="17">
        <v>1591879</v>
      </c>
      <c r="O102" s="29">
        <v>971773</v>
      </c>
      <c r="P102" s="17">
        <v>1366882</v>
      </c>
      <c r="Q102" s="17">
        <v>1498830</v>
      </c>
      <c r="R102" s="17">
        <v>1434299</v>
      </c>
      <c r="S102" s="8"/>
      <c r="T102" s="8"/>
      <c r="U102" s="17">
        <v>11860992</v>
      </c>
      <c r="V102" s="17">
        <v>6027527</v>
      </c>
      <c r="W102" s="17">
        <v>4261769</v>
      </c>
      <c r="X102" s="17">
        <v>8528177</v>
      </c>
      <c r="Y102" s="17">
        <v>8734762</v>
      </c>
      <c r="Z102" s="17">
        <v>8834571</v>
      </c>
      <c r="AA102" s="8"/>
      <c r="AB102" s="8"/>
      <c r="AC102" s="17">
        <v>41803258</v>
      </c>
      <c r="AD102" s="17">
        <v>24220049</v>
      </c>
      <c r="AE102" s="17">
        <v>18999356</v>
      </c>
      <c r="AF102" s="17">
        <v>27198320</v>
      </c>
      <c r="AG102" s="17">
        <v>27058753</v>
      </c>
      <c r="AH102" s="17">
        <v>28096696</v>
      </c>
      <c r="AI102" s="9"/>
    </row>
    <row r="103" spans="2:35" x14ac:dyDescent="0.35">
      <c r="B103" s="10"/>
      <c r="C103" s="15"/>
      <c r="D103" s="16" t="s">
        <v>37</v>
      </c>
      <c r="E103" s="17">
        <v>234295</v>
      </c>
      <c r="F103" s="17">
        <v>127858</v>
      </c>
      <c r="G103" s="17">
        <v>63229</v>
      </c>
      <c r="H103" s="17">
        <v>36251</v>
      </c>
      <c r="I103" s="17">
        <v>45775</v>
      </c>
      <c r="J103" s="17">
        <v>39820</v>
      </c>
      <c r="K103" s="8"/>
      <c r="L103" s="8"/>
      <c r="M103" s="17">
        <v>2761922</v>
      </c>
      <c r="N103" s="17">
        <v>1545669</v>
      </c>
      <c r="O103" s="29">
        <v>973784</v>
      </c>
      <c r="P103" s="17">
        <v>1426716</v>
      </c>
      <c r="Q103" s="17">
        <v>1468529</v>
      </c>
      <c r="R103" s="17">
        <v>1501279</v>
      </c>
      <c r="S103" s="8"/>
      <c r="T103" s="8"/>
      <c r="U103" s="17">
        <v>11149605</v>
      </c>
      <c r="V103" s="17">
        <v>6393675</v>
      </c>
      <c r="W103" s="17">
        <v>4409926</v>
      </c>
      <c r="X103" s="17">
        <v>8590080</v>
      </c>
      <c r="Y103" s="17">
        <v>8726836</v>
      </c>
      <c r="Z103" s="17">
        <v>8890343</v>
      </c>
      <c r="AA103" s="8"/>
      <c r="AB103" s="8"/>
      <c r="AC103" s="17">
        <v>41742516</v>
      </c>
      <c r="AD103" s="17">
        <v>24664169</v>
      </c>
      <c r="AE103" s="17">
        <v>19468204</v>
      </c>
      <c r="AF103" s="17">
        <v>26932325</v>
      </c>
      <c r="AG103" s="17">
        <v>27715816</v>
      </c>
      <c r="AH103" s="17">
        <v>28129497</v>
      </c>
      <c r="AI103" s="9"/>
    </row>
    <row r="104" spans="2:35" x14ac:dyDescent="0.35">
      <c r="B104" s="10"/>
      <c r="C104" s="15"/>
      <c r="D104" s="16" t="s">
        <v>38</v>
      </c>
      <c r="E104" s="17">
        <v>234783</v>
      </c>
      <c r="F104" s="17">
        <v>125171</v>
      </c>
      <c r="G104" s="17">
        <v>63814</v>
      </c>
      <c r="H104" s="17">
        <v>36394</v>
      </c>
      <c r="I104" s="17">
        <v>46240</v>
      </c>
      <c r="J104" s="17">
        <v>38174</v>
      </c>
      <c r="K104" s="8"/>
      <c r="L104" s="8"/>
      <c r="M104" s="17">
        <v>2674487</v>
      </c>
      <c r="N104" s="17">
        <v>1591668</v>
      </c>
      <c r="O104" s="29">
        <v>965986</v>
      </c>
      <c r="P104" s="17">
        <v>1346079</v>
      </c>
      <c r="Q104" s="17">
        <v>1381362</v>
      </c>
      <c r="R104" s="17">
        <v>1498218</v>
      </c>
      <c r="S104" s="8"/>
      <c r="T104" s="8"/>
      <c r="U104" s="17">
        <v>11528829</v>
      </c>
      <c r="V104" s="17">
        <v>7613566</v>
      </c>
      <c r="W104" s="17">
        <v>4244916</v>
      </c>
      <c r="X104" s="17">
        <v>8504128</v>
      </c>
      <c r="Y104" s="17">
        <v>8643496</v>
      </c>
      <c r="Z104" s="17">
        <v>8773791</v>
      </c>
      <c r="AA104" s="8"/>
      <c r="AB104" s="8"/>
      <c r="AC104" s="17">
        <v>41944507</v>
      </c>
      <c r="AD104" s="17">
        <v>24186703</v>
      </c>
      <c r="AE104" s="17">
        <v>18852814</v>
      </c>
      <c r="AF104" s="17">
        <v>27187371</v>
      </c>
      <c r="AG104" s="17">
        <v>27307802</v>
      </c>
      <c r="AH104" s="17">
        <v>27927018</v>
      </c>
      <c r="AI104" s="9"/>
    </row>
    <row r="105" spans="2:35" x14ac:dyDescent="0.35">
      <c r="B105" s="10"/>
      <c r="C105" s="15"/>
      <c r="D105" s="16" t="s">
        <v>39</v>
      </c>
      <c r="E105" s="17">
        <v>242046</v>
      </c>
      <c r="F105" s="17">
        <v>127719</v>
      </c>
      <c r="G105" s="17">
        <v>64366</v>
      </c>
      <c r="H105" s="17">
        <v>36374</v>
      </c>
      <c r="I105" s="17">
        <v>44253</v>
      </c>
      <c r="J105" s="17">
        <v>36954</v>
      </c>
      <c r="K105" s="8"/>
      <c r="L105" s="8"/>
      <c r="M105" s="17">
        <v>2708920</v>
      </c>
      <c r="N105" s="17">
        <v>1600931</v>
      </c>
      <c r="O105" s="29">
        <v>965579</v>
      </c>
      <c r="P105" s="17">
        <v>1435495</v>
      </c>
      <c r="Q105" s="17">
        <v>1488974</v>
      </c>
      <c r="R105" s="17">
        <v>1431943</v>
      </c>
      <c r="S105" s="8"/>
      <c r="T105" s="8"/>
      <c r="U105" s="17">
        <v>11267849</v>
      </c>
      <c r="V105" s="17">
        <v>5560437</v>
      </c>
      <c r="W105" s="17">
        <v>4130818</v>
      </c>
      <c r="X105" s="17">
        <v>8564335</v>
      </c>
      <c r="Y105" s="17">
        <v>8603202</v>
      </c>
      <c r="Z105" s="17">
        <v>8849472</v>
      </c>
      <c r="AA105" s="8"/>
      <c r="AB105" s="8"/>
      <c r="AC105" s="17">
        <v>41703393</v>
      </c>
      <c r="AD105" s="17">
        <v>24298918</v>
      </c>
      <c r="AE105" s="17">
        <v>19066989</v>
      </c>
      <c r="AF105" s="17">
        <v>26736247</v>
      </c>
      <c r="AG105" s="17">
        <v>27395325</v>
      </c>
      <c r="AH105" s="17">
        <v>28184682</v>
      </c>
      <c r="AI105" s="9"/>
    </row>
    <row r="106" spans="2:35" x14ac:dyDescent="0.35">
      <c r="B106" s="10"/>
      <c r="C106" s="15"/>
      <c r="D106" s="16" t="s">
        <v>40</v>
      </c>
      <c r="E106" s="17">
        <v>236870</v>
      </c>
      <c r="F106" s="17">
        <v>128228</v>
      </c>
      <c r="G106" s="17">
        <v>64173</v>
      </c>
      <c r="H106" s="17">
        <v>37730</v>
      </c>
      <c r="I106" s="17">
        <v>43032</v>
      </c>
      <c r="J106" s="17">
        <v>38592</v>
      </c>
      <c r="K106" s="8"/>
      <c r="L106" s="8"/>
      <c r="M106" s="17">
        <v>2725156</v>
      </c>
      <c r="N106" s="17">
        <v>1531964</v>
      </c>
      <c r="O106" s="29">
        <v>979008</v>
      </c>
      <c r="P106" s="17">
        <v>1389116</v>
      </c>
      <c r="Q106" s="17">
        <v>1441496</v>
      </c>
      <c r="R106" s="17">
        <v>1491178</v>
      </c>
      <c r="S106" s="8"/>
      <c r="T106" s="8"/>
      <c r="U106" s="17">
        <v>11015931</v>
      </c>
      <c r="V106" s="17">
        <v>6214267</v>
      </c>
      <c r="W106" s="17">
        <v>4712387</v>
      </c>
      <c r="X106" s="17">
        <v>8481450</v>
      </c>
      <c r="Y106" s="17">
        <v>8556443</v>
      </c>
      <c r="Z106" s="17">
        <v>8819656</v>
      </c>
      <c r="AA106" s="8"/>
      <c r="AB106" s="8"/>
      <c r="AC106" s="17">
        <v>41924887</v>
      </c>
      <c r="AD106" s="17">
        <v>24404359</v>
      </c>
      <c r="AE106" s="17">
        <v>19198719</v>
      </c>
      <c r="AF106" s="17">
        <v>26948769</v>
      </c>
      <c r="AG106" s="17">
        <v>27258541</v>
      </c>
      <c r="AH106" s="17">
        <v>28169694</v>
      </c>
      <c r="AI106" s="9"/>
    </row>
    <row r="107" spans="2:35" x14ac:dyDescent="0.35">
      <c r="B107" s="10"/>
      <c r="C107" s="19"/>
      <c r="D107" s="20" t="s">
        <v>41</v>
      </c>
      <c r="E107" s="21">
        <f t="array" ref="E107">ROUND(AVERAGE(IF((ISNUMBER(E77:E106))*(E77:E106&lt;LARGE(E77:E106,2))*(E77:E106&gt;SMALL(E77:E106,2)),E77:E106)),0)</f>
        <v>249099</v>
      </c>
      <c r="F107" s="21">
        <f t="array" ref="F107">ROUND(AVERAGE(IF((ISNUMBER(F77:F106))*(F77:F106&lt;LARGE(F77:F106,2))*(F77:F106&gt;SMALL(F77:F106,2)),F77:F106)),0)</f>
        <v>124857</v>
      </c>
      <c r="G107" s="21">
        <f t="array" ref="G107">ROUND(AVERAGE(IF((ISNUMBER(G77:G106))*(G77:G106&lt;LARGE(G77:G106,2))*(G77:G106&gt;SMALL(G77:G106,2)),G77:G106)),0)</f>
        <v>63999</v>
      </c>
      <c r="H107" s="21">
        <f t="array" ref="H107">ROUND(AVERAGE(IF((ISNUMBER(H77:H106))*(H77:H106&lt;LARGE(H77:H106,2))*(H77:H106&gt;SMALL(H77:H106,2)),H77:H106)),0)</f>
        <v>37722</v>
      </c>
      <c r="I107" s="21">
        <f t="array" ref="I107">ROUND(AVERAGE(IF((ISNUMBER(I77:I106))*(I77:I106&lt;LARGE(I77:I106,2))*(I77:I106&gt;SMALL(I77:I106,2)),I77:I106)),0)</f>
        <v>44536</v>
      </c>
      <c r="J107" s="21">
        <f t="array" ref="J107">ROUND(AVERAGE(IF((ISNUMBER(J77:J106))*(J77:J106&lt;LARGE(J77:J106,2))*(J77:J106&gt;SMALL(J77:J106,2)),J77:J106)),0)</f>
        <v>38511</v>
      </c>
      <c r="K107" s="21"/>
      <c r="L107" s="21"/>
      <c r="M107" s="21">
        <f t="array" ref="M107">ROUND(AVERAGE(IF((ISNUMBER(M77:M106))*(M77:M106&lt;LARGE(M77:M106,2))*(M77:M106&gt;SMALL(M77:M106,2)),M77:M106)),0)</f>
        <v>2686926</v>
      </c>
      <c r="N107" s="21">
        <f t="array" ref="N107">ROUND(AVERAGE(IF((ISNUMBER(N77:N106))*(N77:N106&lt;LARGE(N77:N106,2))*(N77:N106&gt;SMALL(N77:N106,2)),N77:N106)),0)</f>
        <v>1573685</v>
      </c>
      <c r="O107" s="21">
        <f t="array" ref="O107">ROUND(AVERAGE(IF((ISNUMBER(O77:O106))*(O77:O106&lt;LARGE(O77:O106,2))*(O77:O106&gt;SMALL(O77:O106,2)),O77:O106)),0)</f>
        <v>945726</v>
      </c>
      <c r="P107" s="21">
        <f t="array" ref="P107">ROUND(AVERAGE(IF((ISNUMBER(P77:P106))*(P77:P106&lt;LARGE(P77:P106,2))*(P77:P106&gt;SMALL(P77:P106,2)),P77:P106)),0)</f>
        <v>1387945</v>
      </c>
      <c r="Q107" s="21">
        <f t="array" ref="Q107">ROUND(AVERAGE(IF((ISNUMBER(Q77:Q106))*(Q77:Q106&lt;LARGE(Q77:Q106,2))*(Q77:Q106&gt;SMALL(Q77:Q106,2)),Q77:Q106)),0)</f>
        <v>1424689</v>
      </c>
      <c r="R107" s="21">
        <f t="array" ref="R107">ROUND(AVERAGE(IF((ISNUMBER(R77:R106))*(R77:R106&lt;LARGE(R77:R106,2))*(R77:R106&gt;SMALL(R77:R106,2)),R77:R106)),0)</f>
        <v>1449731</v>
      </c>
      <c r="S107" s="21"/>
      <c r="T107" s="21"/>
      <c r="U107" s="21">
        <f t="array" ref="U107">ROUND(AVERAGE(IF((ISNUMBER(U77:U106))*(U77:U106&lt;LARGE(U77:U106,2))*(U77:U106&gt;SMALL(U77:U106,2)),U77:U106)),0)</f>
        <v>11268335</v>
      </c>
      <c r="V107" s="21">
        <f t="array" ref="V107">ROUND(AVERAGE(IF((ISNUMBER(V77:V106))*(V77:V106&lt;LARGE(V77:V106,2))*(V77:V106&gt;SMALL(V77:V106,2)),V77:V106)),0)</f>
        <v>5990299</v>
      </c>
      <c r="W107" s="21">
        <f t="array" ref="W107">ROUND(AVERAGE(IF((ISNUMBER(W77:W106))*(W77:W106&lt;LARGE(W77:W106,2))*(W77:W106&gt;SMALL(W77:W106,2)),W77:W106)),0)</f>
        <v>4472377</v>
      </c>
      <c r="X107" s="21">
        <f t="array" ref="X107">ROUND(AVERAGE(IF((ISNUMBER(X77:X106))*(X77:X106&lt;LARGE(X77:X106,2))*(X77:X106&gt;SMALL(X77:X106,2)),X77:X106)),0)</f>
        <v>8613421</v>
      </c>
      <c r="Y107" s="21">
        <f t="array" ref="Y107">ROUND(AVERAGE(IF((ISNUMBER(Y77:Y106))*(Y77:Y106&lt;LARGE(Y77:Y106,2))*(Y77:Y106&gt;SMALL(Y77:Y106,2)),Y77:Y106)),0)</f>
        <v>8682753</v>
      </c>
      <c r="Z107" s="21">
        <f t="array" ref="Z107">ROUND(AVERAGE(IF((ISNUMBER(Z77:Z106))*(Z77:Z106&lt;LARGE(Z77:Z106,2))*(Z77:Z106&gt;SMALL(Z77:Z106,2)),Z77:Z106)),0)</f>
        <v>8830907</v>
      </c>
      <c r="AA107" s="21"/>
      <c r="AB107" s="21"/>
      <c r="AC107" s="21">
        <f t="array" ref="AC107">ROUND(AVERAGE(IF((ISNUMBER(AC77:AC106))*(AC77:AC106&lt;LARGE(AC77:AC106,2))*(AC77:AC106&gt;SMALL(AC77:AC106,2)),AC77:AC106)),0)</f>
        <v>41932140</v>
      </c>
      <c r="AD107" s="21">
        <f t="array" ref="AD107">ROUND(AVERAGE(IF((ISNUMBER(AD77:AD106))*(AD77:AD106&lt;LARGE(AD77:AD106,2))*(AD77:AD106&gt;SMALL(AD77:AD106,2)),AD77:AD106)),0)</f>
        <v>24293697</v>
      </c>
      <c r="AE107" s="21">
        <f t="array" ref="AE107">ROUND(AVERAGE(IF((ISNUMBER(AE77:AE106))*(AE77:AE106&lt;LARGE(AE77:AE106,2))*(AE77:AE106&gt;SMALL(AE77:AE106,2)),AE77:AE106)),0)</f>
        <v>19438368</v>
      </c>
      <c r="AF107" s="21">
        <f t="array" ref="AF107">ROUND(AVERAGE(IF((ISNUMBER(AF77:AF106))*(AF77:AF106&lt;LARGE(AF77:AF106,2))*(AF77:AF106&gt;SMALL(AF77:AF106,2)),AF77:AF106)),0)</f>
        <v>27204634</v>
      </c>
      <c r="AG107" s="21">
        <f t="array" ref="AG107">ROUND(AVERAGE(IF((ISNUMBER(AG77:AG106))*(AG77:AG106&lt;LARGE(AG77:AG106,2))*(AG77:AG106&gt;SMALL(AG77:AG106,2)),AG77:AG106)),0)</f>
        <v>27367517</v>
      </c>
      <c r="AH107" s="22">
        <f t="array" ref="AH107">ROUND(AVERAGE(IF((ISNUMBER(AH77:AH106))*(AH77:AH106&lt;LARGE(AH77:AH106,2))*(AH77:AH106&gt;SMALL(AH77:AH106,2)),AH77:AH106)),0)</f>
        <v>27986902</v>
      </c>
      <c r="AI107" s="9"/>
    </row>
    <row r="108" spans="2:35" x14ac:dyDescent="0.35">
      <c r="B108" s="23"/>
      <c r="C108" s="24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6"/>
    </row>
    <row r="109" spans="2:35" x14ac:dyDescent="0.35">
      <c r="B109" s="67"/>
      <c r="C109" s="44"/>
      <c r="D109" s="68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</row>
    <row r="110" spans="2:35" ht="37" x14ac:dyDescent="0.85">
      <c r="B110" s="2" t="s">
        <v>46</v>
      </c>
      <c r="C110" s="3"/>
      <c r="D110" s="27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5"/>
    </row>
    <row r="111" spans="2:35" x14ac:dyDescent="0.35">
      <c r="B111" s="30"/>
      <c r="C111" s="7"/>
      <c r="D111" s="2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9"/>
    </row>
    <row r="112" spans="2:35" x14ac:dyDescent="0.35">
      <c r="B112" s="31"/>
      <c r="C112" s="11" t="s">
        <v>1</v>
      </c>
      <c r="D112" s="12"/>
      <c r="E112" s="12" t="s">
        <v>2</v>
      </c>
      <c r="F112" s="12" t="s">
        <v>3</v>
      </c>
      <c r="G112" s="12" t="s">
        <v>4</v>
      </c>
      <c r="H112" s="12" t="s">
        <v>5</v>
      </c>
      <c r="I112" s="12" t="s">
        <v>6</v>
      </c>
      <c r="J112" s="12" t="s">
        <v>7</v>
      </c>
      <c r="K112" s="13" t="s">
        <v>8</v>
      </c>
      <c r="L112" s="13"/>
      <c r="M112" s="12" t="s">
        <v>2</v>
      </c>
      <c r="N112" s="12" t="s">
        <v>3</v>
      </c>
      <c r="O112" s="12" t="s">
        <v>4</v>
      </c>
      <c r="P112" s="12" t="s">
        <v>5</v>
      </c>
      <c r="Q112" s="12" t="s">
        <v>6</v>
      </c>
      <c r="R112" s="12" t="s">
        <v>7</v>
      </c>
      <c r="S112" s="13" t="s">
        <v>43</v>
      </c>
      <c r="T112" s="13"/>
      <c r="U112" s="12" t="s">
        <v>2</v>
      </c>
      <c r="V112" s="12" t="s">
        <v>3</v>
      </c>
      <c r="W112" s="12" t="s">
        <v>4</v>
      </c>
      <c r="X112" s="12" t="s">
        <v>5</v>
      </c>
      <c r="Y112" s="12" t="s">
        <v>6</v>
      </c>
      <c r="Z112" s="12" t="s">
        <v>7</v>
      </c>
      <c r="AA112" s="13" t="s">
        <v>10</v>
      </c>
      <c r="AB112" s="13"/>
      <c r="AC112" s="12" t="s">
        <v>2</v>
      </c>
      <c r="AD112" s="12" t="s">
        <v>3</v>
      </c>
      <c r="AE112" s="12" t="s">
        <v>4</v>
      </c>
      <c r="AF112" s="12" t="s">
        <v>5</v>
      </c>
      <c r="AG112" s="12" t="s">
        <v>6</v>
      </c>
      <c r="AH112" s="14" t="s">
        <v>7</v>
      </c>
      <c r="AI112" s="9"/>
    </row>
    <row r="113" spans="2:35" x14ac:dyDescent="0.35">
      <c r="B113" s="31"/>
      <c r="C113" s="15"/>
      <c r="D113" s="16" t="s">
        <v>11</v>
      </c>
      <c r="E113" s="17">
        <v>230490</v>
      </c>
      <c r="F113" s="17">
        <v>122153</v>
      </c>
      <c r="G113" s="17">
        <v>63479</v>
      </c>
      <c r="H113" s="17">
        <v>34236</v>
      </c>
      <c r="I113" s="17">
        <v>43991</v>
      </c>
      <c r="J113" s="17">
        <v>42098</v>
      </c>
      <c r="K113" s="8"/>
      <c r="L113" s="8"/>
      <c r="M113" s="17">
        <v>1958708</v>
      </c>
      <c r="N113" s="17">
        <v>1031265</v>
      </c>
      <c r="O113" s="17">
        <v>529152</v>
      </c>
      <c r="P113" s="17">
        <v>311611</v>
      </c>
      <c r="Q113" s="17">
        <v>397932</v>
      </c>
      <c r="R113" s="17">
        <v>452193</v>
      </c>
      <c r="S113" s="8"/>
      <c r="T113" s="8"/>
      <c r="U113" s="17">
        <v>6501008</v>
      </c>
      <c r="V113" s="17">
        <v>5799222</v>
      </c>
      <c r="W113" s="17">
        <v>2151732</v>
      </c>
      <c r="X113" s="17">
        <v>1267483</v>
      </c>
      <c r="Y113" s="17">
        <v>1834430</v>
      </c>
      <c r="Z113" s="17">
        <v>1893078</v>
      </c>
      <c r="AA113" s="8"/>
      <c r="AB113" s="8"/>
      <c r="AC113" s="17">
        <v>15690004</v>
      </c>
      <c r="AD113" s="17">
        <v>8346275</v>
      </c>
      <c r="AE113" s="17">
        <v>4349105</v>
      </c>
      <c r="AF113" s="17">
        <v>4261907</v>
      </c>
      <c r="AG113" s="17">
        <v>4863733</v>
      </c>
      <c r="AH113" s="17">
        <v>4975247</v>
      </c>
      <c r="AI113" s="9"/>
    </row>
    <row r="114" spans="2:35" x14ac:dyDescent="0.35">
      <c r="B114" s="31"/>
      <c r="C114" s="15"/>
      <c r="D114" s="16" t="s">
        <v>12</v>
      </c>
      <c r="E114" s="17">
        <v>225629</v>
      </c>
      <c r="F114" s="17">
        <v>115994</v>
      </c>
      <c r="G114" s="17">
        <v>63072</v>
      </c>
      <c r="H114" s="17">
        <v>41586</v>
      </c>
      <c r="I114" s="17">
        <v>40471</v>
      </c>
      <c r="J114" s="17">
        <v>44576</v>
      </c>
      <c r="K114" s="8"/>
      <c r="L114" s="8"/>
      <c r="M114" s="17">
        <v>1927523</v>
      </c>
      <c r="N114" s="17">
        <v>1042533</v>
      </c>
      <c r="O114" s="17">
        <v>529551</v>
      </c>
      <c r="P114" s="17">
        <v>292538</v>
      </c>
      <c r="Q114" s="17">
        <v>426070</v>
      </c>
      <c r="R114" s="17">
        <v>436560</v>
      </c>
      <c r="S114" s="8"/>
      <c r="T114" s="8"/>
      <c r="U114" s="17">
        <v>6494701</v>
      </c>
      <c r="V114" s="17">
        <v>5888269</v>
      </c>
      <c r="W114" s="17">
        <v>2179873</v>
      </c>
      <c r="X114" s="17">
        <v>1387099</v>
      </c>
      <c r="Y114" s="17">
        <v>1832147</v>
      </c>
      <c r="Z114" s="17">
        <v>1915354</v>
      </c>
      <c r="AA114" s="8"/>
      <c r="AB114" s="8"/>
      <c r="AC114" s="17">
        <v>15729083</v>
      </c>
      <c r="AD114" s="17">
        <v>8463507</v>
      </c>
      <c r="AE114" s="17">
        <v>4340617</v>
      </c>
      <c r="AF114" s="17">
        <v>4106321</v>
      </c>
      <c r="AG114" s="17">
        <v>4772032</v>
      </c>
      <c r="AH114" s="17">
        <v>5061608</v>
      </c>
      <c r="AI114" s="9"/>
    </row>
    <row r="115" spans="2:35" x14ac:dyDescent="0.35">
      <c r="B115" s="31"/>
      <c r="C115" s="15"/>
      <c r="D115" s="16" t="s">
        <v>13</v>
      </c>
      <c r="E115" s="17">
        <v>227673</v>
      </c>
      <c r="F115" s="17">
        <v>119589</v>
      </c>
      <c r="G115" s="17">
        <v>63684</v>
      </c>
      <c r="H115" s="17">
        <v>34916</v>
      </c>
      <c r="I115" s="17">
        <v>39893</v>
      </c>
      <c r="J115" s="17">
        <v>45278</v>
      </c>
      <c r="K115" s="8"/>
      <c r="L115" s="8"/>
      <c r="M115" s="17">
        <v>1940183</v>
      </c>
      <c r="N115" s="17">
        <v>1036874</v>
      </c>
      <c r="O115" s="17">
        <v>529726</v>
      </c>
      <c r="P115" s="17">
        <v>294947</v>
      </c>
      <c r="Q115" s="17">
        <v>439664</v>
      </c>
      <c r="R115" s="17">
        <v>463025</v>
      </c>
      <c r="S115" s="8"/>
      <c r="T115" s="8"/>
      <c r="U115" s="17">
        <v>6493957</v>
      </c>
      <c r="V115" s="17">
        <v>6117949</v>
      </c>
      <c r="W115" s="17">
        <v>2192115</v>
      </c>
      <c r="X115" s="17">
        <v>1277256</v>
      </c>
      <c r="Y115" s="17">
        <v>1885607</v>
      </c>
      <c r="Z115" s="17">
        <v>1986683</v>
      </c>
      <c r="AA115" s="8"/>
      <c r="AB115" s="8"/>
      <c r="AC115" s="17">
        <v>15714663</v>
      </c>
      <c r="AD115" s="17">
        <v>8462279</v>
      </c>
      <c r="AE115" s="17">
        <v>4342332</v>
      </c>
      <c r="AF115" s="17">
        <v>3616030</v>
      </c>
      <c r="AG115" s="17">
        <v>4698477</v>
      </c>
      <c r="AH115" s="17">
        <v>5010166</v>
      </c>
      <c r="AI115" s="9"/>
    </row>
    <row r="116" spans="2:35" x14ac:dyDescent="0.35">
      <c r="B116" s="31"/>
      <c r="C116" s="15"/>
      <c r="D116" s="16" t="s">
        <v>14</v>
      </c>
      <c r="E116" s="17">
        <v>225234</v>
      </c>
      <c r="F116" s="17">
        <v>122615</v>
      </c>
      <c r="G116" s="17">
        <v>62920</v>
      </c>
      <c r="H116" s="17">
        <v>34566</v>
      </c>
      <c r="I116" s="17">
        <v>46606</v>
      </c>
      <c r="J116" s="17">
        <v>43243</v>
      </c>
      <c r="K116" s="8"/>
      <c r="L116" s="8"/>
      <c r="M116" s="17">
        <v>1928971</v>
      </c>
      <c r="N116" s="17">
        <v>1055679</v>
      </c>
      <c r="O116" s="17">
        <v>528305</v>
      </c>
      <c r="P116" s="17">
        <v>292360</v>
      </c>
      <c r="Q116" s="17">
        <v>417538</v>
      </c>
      <c r="R116" s="17">
        <v>441696</v>
      </c>
      <c r="S116" s="8"/>
      <c r="T116" s="8"/>
      <c r="U116" s="17">
        <v>6490480</v>
      </c>
      <c r="V116" s="17">
        <v>6700545</v>
      </c>
      <c r="W116" s="17">
        <v>2178529</v>
      </c>
      <c r="X116" s="17">
        <v>1291708</v>
      </c>
      <c r="Y116" s="17">
        <v>1832886</v>
      </c>
      <c r="Z116" s="17">
        <v>1917958</v>
      </c>
      <c r="AA116" s="8"/>
      <c r="AB116" s="8"/>
      <c r="AC116" s="17">
        <v>15723586</v>
      </c>
      <c r="AD116" s="17">
        <v>8514564</v>
      </c>
      <c r="AE116" s="17">
        <v>4366326</v>
      </c>
      <c r="AF116" s="17">
        <v>3920043</v>
      </c>
      <c r="AG116" s="17">
        <v>4894265</v>
      </c>
      <c r="AH116" s="17">
        <v>4915076</v>
      </c>
      <c r="AI116" s="9"/>
    </row>
    <row r="117" spans="2:35" x14ac:dyDescent="0.35">
      <c r="B117" s="31"/>
      <c r="C117" s="15"/>
      <c r="D117" s="16" t="s">
        <v>15</v>
      </c>
      <c r="E117" s="17">
        <v>228290</v>
      </c>
      <c r="F117" s="17">
        <v>120870</v>
      </c>
      <c r="G117" s="17">
        <v>62971</v>
      </c>
      <c r="H117" s="17">
        <v>34969</v>
      </c>
      <c r="I117" s="17">
        <v>42547</v>
      </c>
      <c r="J117" s="17">
        <v>43946</v>
      </c>
      <c r="K117" s="8"/>
      <c r="L117" s="8"/>
      <c r="M117" s="17">
        <v>1931426</v>
      </c>
      <c r="N117" s="17">
        <v>1035930</v>
      </c>
      <c r="O117" s="17">
        <v>529315</v>
      </c>
      <c r="P117" s="17">
        <v>296042</v>
      </c>
      <c r="Q117" s="17">
        <v>511237</v>
      </c>
      <c r="R117" s="17">
        <v>451244</v>
      </c>
      <c r="S117" s="8"/>
      <c r="T117" s="8"/>
      <c r="U117" s="17">
        <v>6490677</v>
      </c>
      <c r="V117" s="17">
        <v>5595105</v>
      </c>
      <c r="W117" s="17">
        <v>2174788</v>
      </c>
      <c r="X117" s="17">
        <v>1242613</v>
      </c>
      <c r="Y117" s="17">
        <v>1910423</v>
      </c>
      <c r="Z117" s="17">
        <v>1940675</v>
      </c>
      <c r="AA117" s="8"/>
      <c r="AB117" s="8"/>
      <c r="AC117" s="17">
        <v>15696833</v>
      </c>
      <c r="AD117" s="17">
        <v>8248381</v>
      </c>
      <c r="AE117" s="17">
        <v>4743816</v>
      </c>
      <c r="AF117" s="17">
        <v>3562380</v>
      </c>
      <c r="AG117" s="17">
        <v>4838189</v>
      </c>
      <c r="AH117" s="17">
        <v>5012129</v>
      </c>
      <c r="AI117" s="9"/>
    </row>
    <row r="118" spans="2:35" x14ac:dyDescent="0.35">
      <c r="B118" s="31"/>
      <c r="C118" s="15"/>
      <c r="D118" s="16" t="s">
        <v>16</v>
      </c>
      <c r="E118" s="17">
        <v>226732</v>
      </c>
      <c r="F118" s="17">
        <v>123378</v>
      </c>
      <c r="G118" s="17">
        <v>62838</v>
      </c>
      <c r="H118" s="17">
        <v>36048</v>
      </c>
      <c r="I118" s="17">
        <v>45921</v>
      </c>
      <c r="J118" s="17">
        <v>45441</v>
      </c>
      <c r="K118" s="8"/>
      <c r="L118" s="8"/>
      <c r="M118" s="17">
        <v>1928768</v>
      </c>
      <c r="N118" s="17">
        <v>1033398</v>
      </c>
      <c r="O118" s="17">
        <v>527735</v>
      </c>
      <c r="P118" s="17">
        <v>292167</v>
      </c>
      <c r="Q118" s="17">
        <v>422708</v>
      </c>
      <c r="R118" s="17">
        <v>439753</v>
      </c>
      <c r="S118" s="8"/>
      <c r="T118" s="8"/>
      <c r="U118" s="17">
        <v>6495221</v>
      </c>
      <c r="V118" s="17">
        <v>5706978</v>
      </c>
      <c r="W118" s="17">
        <v>2174474</v>
      </c>
      <c r="X118" s="17">
        <v>1308578</v>
      </c>
      <c r="Y118" s="17">
        <v>1758251</v>
      </c>
      <c r="Z118" s="17">
        <v>1953242</v>
      </c>
      <c r="AA118" s="8"/>
      <c r="AB118" s="8"/>
      <c r="AC118" s="17">
        <v>15679122</v>
      </c>
      <c r="AD118" s="17">
        <v>8467944</v>
      </c>
      <c r="AE118" s="17">
        <v>4723626</v>
      </c>
      <c r="AF118" s="17">
        <v>3966381</v>
      </c>
      <c r="AG118" s="17">
        <v>4880587</v>
      </c>
      <c r="AH118" s="17">
        <v>4952933</v>
      </c>
      <c r="AI118" s="9"/>
    </row>
    <row r="119" spans="2:35" x14ac:dyDescent="0.35">
      <c r="B119" s="31"/>
      <c r="C119" s="15"/>
      <c r="D119" s="16" t="s">
        <v>17</v>
      </c>
      <c r="E119" s="17">
        <v>225880</v>
      </c>
      <c r="F119" s="17">
        <v>123959</v>
      </c>
      <c r="G119" s="17">
        <v>63105</v>
      </c>
      <c r="H119" s="17">
        <v>34255</v>
      </c>
      <c r="I119" s="17">
        <v>40360</v>
      </c>
      <c r="J119" s="17">
        <v>45527</v>
      </c>
      <c r="K119" s="8"/>
      <c r="L119" s="8"/>
      <c r="M119" s="17">
        <v>1919379</v>
      </c>
      <c r="N119" s="17">
        <v>1026763</v>
      </c>
      <c r="O119" s="17">
        <v>529863</v>
      </c>
      <c r="P119" s="17">
        <v>292284</v>
      </c>
      <c r="Q119" s="17">
        <v>416525</v>
      </c>
      <c r="R119" s="17">
        <v>452466</v>
      </c>
      <c r="S119" s="8"/>
      <c r="T119" s="8"/>
      <c r="U119" s="17">
        <v>6496094</v>
      </c>
      <c r="V119" s="17">
        <v>5706552</v>
      </c>
      <c r="W119" s="17">
        <v>2172778</v>
      </c>
      <c r="X119" s="17">
        <v>1276260</v>
      </c>
      <c r="Y119" s="17">
        <v>1842979</v>
      </c>
      <c r="Z119" s="17">
        <v>1941834</v>
      </c>
      <c r="AA119" s="8"/>
      <c r="AB119" s="8"/>
      <c r="AC119" s="17">
        <v>15674400</v>
      </c>
      <c r="AD119" s="17">
        <v>8065865</v>
      </c>
      <c r="AE119" s="17">
        <v>4697951</v>
      </c>
      <c r="AF119" s="17">
        <v>3614720</v>
      </c>
      <c r="AG119" s="17">
        <v>4872489</v>
      </c>
      <c r="AH119" s="17">
        <v>4975774</v>
      </c>
      <c r="AI119" s="9"/>
    </row>
    <row r="120" spans="2:35" x14ac:dyDescent="0.35">
      <c r="B120" s="31"/>
      <c r="C120" s="15"/>
      <c r="D120" s="16" t="s">
        <v>18</v>
      </c>
      <c r="E120" s="17">
        <v>227803</v>
      </c>
      <c r="F120" s="17">
        <v>118337</v>
      </c>
      <c r="G120" s="17">
        <v>65133</v>
      </c>
      <c r="H120" s="17">
        <v>34405</v>
      </c>
      <c r="I120" s="17">
        <v>47021</v>
      </c>
      <c r="J120" s="17">
        <v>44805</v>
      </c>
      <c r="K120" s="8"/>
      <c r="L120" s="8"/>
      <c r="M120" s="17">
        <v>1934596</v>
      </c>
      <c r="N120" s="17">
        <v>1035250</v>
      </c>
      <c r="O120" s="17">
        <v>528389</v>
      </c>
      <c r="P120" s="17">
        <v>301367</v>
      </c>
      <c r="Q120" s="17">
        <v>431177</v>
      </c>
      <c r="R120" s="17">
        <v>435492</v>
      </c>
      <c r="S120" s="8"/>
      <c r="T120" s="8"/>
      <c r="U120" s="17">
        <v>6496693</v>
      </c>
      <c r="V120" s="17">
        <v>5688439</v>
      </c>
      <c r="W120" s="17">
        <v>2176419</v>
      </c>
      <c r="X120" s="17">
        <v>1278022</v>
      </c>
      <c r="Y120" s="17">
        <v>1834445</v>
      </c>
      <c r="Z120" s="17">
        <v>1919413</v>
      </c>
      <c r="AA120" s="8"/>
      <c r="AB120" s="8"/>
      <c r="AC120" s="17">
        <v>15690765</v>
      </c>
      <c r="AD120" s="17">
        <v>8443558</v>
      </c>
      <c r="AE120" s="17">
        <v>4709650</v>
      </c>
      <c r="AF120" s="17">
        <v>3787677</v>
      </c>
      <c r="AG120" s="17">
        <v>4915113</v>
      </c>
      <c r="AH120" s="17">
        <v>4961060</v>
      </c>
      <c r="AI120" s="9"/>
    </row>
    <row r="121" spans="2:35" x14ac:dyDescent="0.35">
      <c r="B121" s="31"/>
      <c r="C121" s="15"/>
      <c r="D121" s="16" t="s">
        <v>19</v>
      </c>
      <c r="E121" s="17">
        <v>229968</v>
      </c>
      <c r="F121" s="17">
        <v>115977</v>
      </c>
      <c r="G121" s="17">
        <v>63969</v>
      </c>
      <c r="H121" s="17">
        <v>34186</v>
      </c>
      <c r="I121" s="17">
        <v>39956</v>
      </c>
      <c r="J121" s="17">
        <v>45661</v>
      </c>
      <c r="K121" s="8"/>
      <c r="L121" s="8"/>
      <c r="M121" s="17">
        <v>1926518</v>
      </c>
      <c r="N121" s="17">
        <v>1042327</v>
      </c>
      <c r="O121" s="17">
        <v>529069</v>
      </c>
      <c r="P121" s="17">
        <v>336415</v>
      </c>
      <c r="Q121" s="17">
        <v>424148</v>
      </c>
      <c r="R121" s="17">
        <v>454487</v>
      </c>
      <c r="S121" s="8"/>
      <c r="T121" s="8"/>
      <c r="U121" s="17">
        <v>6488358</v>
      </c>
      <c r="V121" s="17">
        <v>6571733</v>
      </c>
      <c r="W121" s="17">
        <v>2195300</v>
      </c>
      <c r="X121" s="17">
        <v>1242186</v>
      </c>
      <c r="Y121" s="17">
        <v>1784603</v>
      </c>
      <c r="Z121" s="17">
        <v>1939905</v>
      </c>
      <c r="AA121" s="8"/>
      <c r="AB121" s="8"/>
      <c r="AC121" s="17">
        <v>15641742</v>
      </c>
      <c r="AD121" s="17">
        <v>8452098</v>
      </c>
      <c r="AE121" s="17">
        <v>4684158</v>
      </c>
      <c r="AF121" s="17">
        <v>3791733</v>
      </c>
      <c r="AG121" s="17">
        <v>4909644</v>
      </c>
      <c r="AH121" s="17">
        <v>4927379</v>
      </c>
      <c r="AI121" s="9"/>
    </row>
    <row r="122" spans="2:35" x14ac:dyDescent="0.35">
      <c r="B122" s="31"/>
      <c r="C122" s="15"/>
      <c r="D122" s="16" t="s">
        <v>20</v>
      </c>
      <c r="E122" s="17">
        <v>226473</v>
      </c>
      <c r="F122" s="17">
        <v>115707</v>
      </c>
      <c r="G122" s="17">
        <v>62785</v>
      </c>
      <c r="H122" s="17">
        <v>36447</v>
      </c>
      <c r="I122" s="17">
        <v>40609</v>
      </c>
      <c r="J122" s="17">
        <v>44737</v>
      </c>
      <c r="K122" s="8"/>
      <c r="L122" s="8"/>
      <c r="M122" s="17">
        <v>1939876</v>
      </c>
      <c r="N122" s="17">
        <v>1030603</v>
      </c>
      <c r="O122" s="17">
        <v>529514</v>
      </c>
      <c r="P122" s="17">
        <v>310475</v>
      </c>
      <c r="Q122" s="17">
        <v>425326</v>
      </c>
      <c r="R122" s="17">
        <v>440457</v>
      </c>
      <c r="S122" s="8"/>
      <c r="T122" s="8"/>
      <c r="U122" s="17">
        <v>6498058</v>
      </c>
      <c r="V122" s="17">
        <v>6803111</v>
      </c>
      <c r="W122" s="17">
        <v>2171834</v>
      </c>
      <c r="X122" s="17">
        <v>1291314</v>
      </c>
      <c r="Y122" s="17">
        <v>1809877</v>
      </c>
      <c r="Z122" s="17">
        <v>1925621</v>
      </c>
      <c r="AA122" s="8"/>
      <c r="AB122" s="8"/>
      <c r="AC122" s="17">
        <v>15627227</v>
      </c>
      <c r="AD122" s="17">
        <v>8447427</v>
      </c>
      <c r="AE122" s="17">
        <v>4680265</v>
      </c>
      <c r="AF122" s="17">
        <v>3898913</v>
      </c>
      <c r="AG122" s="17">
        <v>4766008</v>
      </c>
      <c r="AH122" s="17">
        <v>4954356</v>
      </c>
      <c r="AI122" s="9"/>
    </row>
    <row r="123" spans="2:35" x14ac:dyDescent="0.35">
      <c r="B123" s="31"/>
      <c r="C123" s="15"/>
      <c r="D123" s="16" t="s">
        <v>21</v>
      </c>
      <c r="E123" s="17">
        <v>227841</v>
      </c>
      <c r="F123" s="17">
        <v>116789</v>
      </c>
      <c r="G123" s="17">
        <v>63041</v>
      </c>
      <c r="H123" s="17">
        <v>34396</v>
      </c>
      <c r="I123" s="17">
        <v>46250</v>
      </c>
      <c r="J123" s="17">
        <v>46597</v>
      </c>
      <c r="K123" s="8"/>
      <c r="L123" s="8"/>
      <c r="M123" s="17">
        <v>1934834</v>
      </c>
      <c r="N123" s="17">
        <v>981711</v>
      </c>
      <c r="O123" s="17">
        <v>528128</v>
      </c>
      <c r="P123" s="17">
        <v>294908</v>
      </c>
      <c r="Q123" s="17">
        <v>419492</v>
      </c>
      <c r="R123" s="17">
        <v>454087</v>
      </c>
      <c r="S123" s="8"/>
      <c r="T123" s="8"/>
      <c r="U123" s="17">
        <v>6493049</v>
      </c>
      <c r="V123" s="17">
        <v>5828632</v>
      </c>
      <c r="W123" s="17">
        <v>2191826</v>
      </c>
      <c r="X123" s="17">
        <v>1319875</v>
      </c>
      <c r="Y123" s="17">
        <v>1799611</v>
      </c>
      <c r="Z123" s="17">
        <v>1900252</v>
      </c>
      <c r="AA123" s="8"/>
      <c r="AB123" s="8"/>
      <c r="AC123" s="17">
        <v>15646447</v>
      </c>
      <c r="AD123" s="17">
        <v>8275006</v>
      </c>
      <c r="AE123" s="17">
        <v>4697583</v>
      </c>
      <c r="AF123" s="17">
        <v>3639855</v>
      </c>
      <c r="AG123" s="17">
        <v>4545851</v>
      </c>
      <c r="AH123" s="17">
        <v>4973817</v>
      </c>
      <c r="AI123" s="9"/>
    </row>
    <row r="124" spans="2:35" x14ac:dyDescent="0.35">
      <c r="B124" s="31"/>
      <c r="C124" s="15"/>
      <c r="D124" s="16" t="s">
        <v>22</v>
      </c>
      <c r="E124" s="17">
        <v>228337</v>
      </c>
      <c r="F124" s="17">
        <v>118227</v>
      </c>
      <c r="G124" s="17">
        <v>62750</v>
      </c>
      <c r="H124" s="17">
        <v>35702</v>
      </c>
      <c r="I124" s="17">
        <v>42672</v>
      </c>
      <c r="J124" s="17">
        <v>46669</v>
      </c>
      <c r="K124" s="8"/>
      <c r="L124" s="8"/>
      <c r="M124" s="17">
        <v>1931457</v>
      </c>
      <c r="N124" s="17">
        <v>1033105</v>
      </c>
      <c r="O124" s="17">
        <v>528999</v>
      </c>
      <c r="P124" s="17">
        <v>300202</v>
      </c>
      <c r="Q124" s="17">
        <v>411151</v>
      </c>
      <c r="R124" s="17">
        <v>434661</v>
      </c>
      <c r="S124" s="8"/>
      <c r="T124" s="8"/>
      <c r="U124" s="17">
        <v>6495576</v>
      </c>
      <c r="V124" s="17">
        <v>6075143</v>
      </c>
      <c r="W124" s="17">
        <v>2170526</v>
      </c>
      <c r="X124" s="17">
        <v>1254032</v>
      </c>
      <c r="Y124" s="17">
        <v>1728527</v>
      </c>
      <c r="Z124" s="17">
        <v>1877040</v>
      </c>
      <c r="AA124" s="8"/>
      <c r="AB124" s="8"/>
      <c r="AC124" s="17">
        <v>15657344</v>
      </c>
      <c r="AD124" s="17">
        <v>8493001</v>
      </c>
      <c r="AE124" s="17">
        <v>4748652</v>
      </c>
      <c r="AF124" s="17">
        <v>4251980</v>
      </c>
      <c r="AG124" s="17">
        <v>4812071</v>
      </c>
      <c r="AH124" s="17">
        <v>4990269</v>
      </c>
      <c r="AI124" s="9"/>
    </row>
    <row r="125" spans="2:35" x14ac:dyDescent="0.35">
      <c r="B125" s="31"/>
      <c r="C125" s="15"/>
      <c r="D125" s="16" t="s">
        <v>23</v>
      </c>
      <c r="E125" s="17">
        <v>229706</v>
      </c>
      <c r="F125" s="17">
        <v>117591</v>
      </c>
      <c r="G125" s="17">
        <v>63095</v>
      </c>
      <c r="H125" s="17">
        <v>35297</v>
      </c>
      <c r="I125" s="17">
        <v>44453</v>
      </c>
      <c r="J125" s="17">
        <v>44490</v>
      </c>
      <c r="K125" s="8"/>
      <c r="L125" s="8"/>
      <c r="M125" s="17">
        <v>1928894</v>
      </c>
      <c r="N125" s="17">
        <v>1034647</v>
      </c>
      <c r="O125" s="17">
        <v>527659</v>
      </c>
      <c r="P125" s="17">
        <v>334709</v>
      </c>
      <c r="Q125" s="17">
        <v>429975</v>
      </c>
      <c r="R125" s="17">
        <v>446003</v>
      </c>
      <c r="S125" s="8"/>
      <c r="T125" s="8"/>
      <c r="U125" s="17">
        <v>6499213</v>
      </c>
      <c r="V125" s="17">
        <v>5891697</v>
      </c>
      <c r="W125" s="17">
        <v>2167419</v>
      </c>
      <c r="X125" s="17">
        <v>1284980</v>
      </c>
      <c r="Y125" s="17">
        <v>1799261</v>
      </c>
      <c r="Z125" s="17">
        <v>1928765</v>
      </c>
      <c r="AA125" s="8"/>
      <c r="AB125" s="8"/>
      <c r="AC125" s="17">
        <v>15709562</v>
      </c>
      <c r="AD125" s="17">
        <v>8242426</v>
      </c>
      <c r="AE125" s="17">
        <v>4960277</v>
      </c>
      <c r="AF125" s="17">
        <v>4048605</v>
      </c>
      <c r="AG125" s="17">
        <v>4879730</v>
      </c>
      <c r="AH125" s="17">
        <v>5025815</v>
      </c>
      <c r="AI125" s="9"/>
    </row>
    <row r="126" spans="2:35" x14ac:dyDescent="0.35">
      <c r="B126" s="31"/>
      <c r="C126" s="15"/>
      <c r="D126" s="16" t="s">
        <v>24</v>
      </c>
      <c r="E126" s="17">
        <v>229269</v>
      </c>
      <c r="F126" s="17">
        <v>123714</v>
      </c>
      <c r="G126" s="17">
        <v>64030</v>
      </c>
      <c r="H126" s="17">
        <v>37369</v>
      </c>
      <c r="I126" s="17">
        <v>46244</v>
      </c>
      <c r="J126" s="17">
        <v>45714</v>
      </c>
      <c r="K126" s="8"/>
      <c r="L126" s="8"/>
      <c r="M126" s="17">
        <v>1935052</v>
      </c>
      <c r="N126" s="17">
        <v>1023295</v>
      </c>
      <c r="O126" s="17">
        <v>529587</v>
      </c>
      <c r="P126" s="17">
        <v>358404</v>
      </c>
      <c r="Q126" s="17">
        <v>435013</v>
      </c>
      <c r="R126" s="17">
        <v>445414</v>
      </c>
      <c r="S126" s="8"/>
      <c r="T126" s="8"/>
      <c r="U126" s="17">
        <v>6489766</v>
      </c>
      <c r="V126" s="17">
        <v>5860167</v>
      </c>
      <c r="W126" s="17">
        <v>2169829</v>
      </c>
      <c r="X126" s="17">
        <v>1276951</v>
      </c>
      <c r="Y126" s="17">
        <v>1817434</v>
      </c>
      <c r="Z126" s="17">
        <v>1911620</v>
      </c>
      <c r="AA126" s="8"/>
      <c r="AB126" s="8"/>
      <c r="AC126" s="17">
        <v>15659445</v>
      </c>
      <c r="AD126" s="17">
        <v>8382344</v>
      </c>
      <c r="AE126" s="17">
        <v>4778986</v>
      </c>
      <c r="AF126" s="17">
        <v>4083936</v>
      </c>
      <c r="AG126" s="17">
        <v>4657194</v>
      </c>
      <c r="AH126" s="17">
        <v>4999388</v>
      </c>
      <c r="AI126" s="9"/>
    </row>
    <row r="127" spans="2:35" x14ac:dyDescent="0.35">
      <c r="B127" s="31"/>
      <c r="C127" s="15"/>
      <c r="D127" s="16" t="s">
        <v>25</v>
      </c>
      <c r="E127" s="17">
        <v>228170</v>
      </c>
      <c r="F127" s="17">
        <v>122753</v>
      </c>
      <c r="G127" s="17">
        <v>62886</v>
      </c>
      <c r="H127" s="17">
        <v>34497</v>
      </c>
      <c r="I127" s="17">
        <v>46031</v>
      </c>
      <c r="J127" s="17">
        <v>46862</v>
      </c>
      <c r="K127" s="8"/>
      <c r="L127" s="8"/>
      <c r="M127" s="17">
        <v>1926260</v>
      </c>
      <c r="N127" s="17">
        <v>1037135</v>
      </c>
      <c r="O127" s="17">
        <v>528855</v>
      </c>
      <c r="P127" s="17">
        <v>365334</v>
      </c>
      <c r="Q127" s="17">
        <v>419849</v>
      </c>
      <c r="R127" s="17">
        <v>442776</v>
      </c>
      <c r="S127" s="8"/>
      <c r="T127" s="8"/>
      <c r="U127" s="17">
        <v>6485922</v>
      </c>
      <c r="V127" s="17">
        <v>5902618</v>
      </c>
      <c r="W127" s="17">
        <v>2175014</v>
      </c>
      <c r="X127" s="17">
        <v>1280876</v>
      </c>
      <c r="Y127" s="17">
        <v>1729497</v>
      </c>
      <c r="Z127" s="17">
        <v>1923980</v>
      </c>
      <c r="AA127" s="8"/>
      <c r="AB127" s="8"/>
      <c r="AC127" s="17">
        <v>15678445</v>
      </c>
      <c r="AD127" s="17">
        <v>8310011</v>
      </c>
      <c r="AE127" s="17">
        <v>4931162</v>
      </c>
      <c r="AF127" s="17">
        <v>3735603</v>
      </c>
      <c r="AG127" s="17">
        <v>4605623</v>
      </c>
      <c r="AH127" s="17">
        <v>4951189</v>
      </c>
      <c r="AI127" s="9"/>
    </row>
    <row r="128" spans="2:35" x14ac:dyDescent="0.35">
      <c r="B128" s="31"/>
      <c r="C128" s="15"/>
      <c r="D128" s="16" t="s">
        <v>26</v>
      </c>
      <c r="E128" s="17">
        <v>229033</v>
      </c>
      <c r="F128" s="17">
        <v>123340</v>
      </c>
      <c r="G128" s="17">
        <v>62985</v>
      </c>
      <c r="H128" s="17">
        <v>34570</v>
      </c>
      <c r="I128" s="17">
        <v>47415</v>
      </c>
      <c r="J128" s="17">
        <v>44503</v>
      </c>
      <c r="K128" s="8"/>
      <c r="L128" s="8"/>
      <c r="M128" s="17">
        <v>1923353</v>
      </c>
      <c r="N128" s="17">
        <v>1017720</v>
      </c>
      <c r="O128" s="17">
        <v>527308</v>
      </c>
      <c r="P128" s="17">
        <v>342144</v>
      </c>
      <c r="Q128" s="17">
        <v>419182</v>
      </c>
      <c r="R128" s="17">
        <v>444002</v>
      </c>
      <c r="S128" s="8"/>
      <c r="T128" s="8"/>
      <c r="U128" s="17">
        <v>6513538</v>
      </c>
      <c r="V128" s="17">
        <v>6095598</v>
      </c>
      <c r="W128" s="17">
        <v>2170702</v>
      </c>
      <c r="X128" s="17">
        <v>1282535</v>
      </c>
      <c r="Y128" s="17">
        <v>1866714</v>
      </c>
      <c r="Z128" s="17">
        <v>1938804</v>
      </c>
      <c r="AA128" s="8"/>
      <c r="AB128" s="8"/>
      <c r="AC128" s="17">
        <v>15672080</v>
      </c>
      <c r="AD128" s="17">
        <v>8359606</v>
      </c>
      <c r="AE128" s="17">
        <v>4799970</v>
      </c>
      <c r="AF128" s="17">
        <v>4117144</v>
      </c>
      <c r="AG128" s="17">
        <v>4897261</v>
      </c>
      <c r="AH128" s="17">
        <v>4947194</v>
      </c>
      <c r="AI128" s="9"/>
    </row>
    <row r="129" spans="2:35" x14ac:dyDescent="0.35">
      <c r="B129" s="31"/>
      <c r="C129" s="15"/>
      <c r="D129" s="16" t="s">
        <v>27</v>
      </c>
      <c r="E129" s="17">
        <v>230732</v>
      </c>
      <c r="F129" s="17">
        <v>121298</v>
      </c>
      <c r="G129" s="17">
        <v>63032</v>
      </c>
      <c r="H129" s="17">
        <v>36927</v>
      </c>
      <c r="I129" s="17">
        <v>43356</v>
      </c>
      <c r="J129" s="17">
        <v>44104</v>
      </c>
      <c r="K129" s="8"/>
      <c r="L129" s="8"/>
      <c r="M129" s="17">
        <v>1931410</v>
      </c>
      <c r="N129" s="17">
        <v>1035856</v>
      </c>
      <c r="O129" s="17">
        <v>529082</v>
      </c>
      <c r="P129" s="17">
        <v>355683</v>
      </c>
      <c r="Q129" s="17">
        <v>459097</v>
      </c>
      <c r="R129" s="17">
        <v>444671</v>
      </c>
      <c r="S129" s="8"/>
      <c r="T129" s="8"/>
      <c r="U129" s="17">
        <v>6501524</v>
      </c>
      <c r="V129" s="17">
        <v>6201491</v>
      </c>
      <c r="W129" s="17">
        <v>2167599</v>
      </c>
      <c r="X129" s="17">
        <v>1271367</v>
      </c>
      <c r="Y129" s="17">
        <v>1856765</v>
      </c>
      <c r="Z129" s="17">
        <v>1917846</v>
      </c>
      <c r="AA129" s="8"/>
      <c r="AB129" s="8"/>
      <c r="AC129" s="17">
        <v>15650411</v>
      </c>
      <c r="AD129" s="17">
        <v>8509949</v>
      </c>
      <c r="AE129" s="17">
        <v>4725677</v>
      </c>
      <c r="AF129" s="17">
        <v>3573928</v>
      </c>
      <c r="AG129" s="17">
        <v>4866972</v>
      </c>
      <c r="AH129" s="17">
        <v>4977890</v>
      </c>
      <c r="AI129" s="9"/>
    </row>
    <row r="130" spans="2:35" x14ac:dyDescent="0.35">
      <c r="B130" s="31"/>
      <c r="C130" s="15"/>
      <c r="D130" s="16" t="s">
        <v>28</v>
      </c>
      <c r="E130" s="17">
        <v>226493</v>
      </c>
      <c r="F130" s="17">
        <v>121940</v>
      </c>
      <c r="G130" s="17">
        <v>63762</v>
      </c>
      <c r="H130" s="17">
        <v>36538</v>
      </c>
      <c r="I130" s="17">
        <v>39286</v>
      </c>
      <c r="J130" s="17">
        <v>44380</v>
      </c>
      <c r="K130" s="8"/>
      <c r="L130" s="8"/>
      <c r="M130" s="17">
        <v>1940523</v>
      </c>
      <c r="N130" s="17">
        <v>985186</v>
      </c>
      <c r="O130" s="17">
        <v>527815</v>
      </c>
      <c r="P130" s="17">
        <v>343825</v>
      </c>
      <c r="Q130" s="17">
        <v>447041</v>
      </c>
      <c r="R130" s="17">
        <v>454725</v>
      </c>
      <c r="S130" s="8"/>
      <c r="T130" s="8"/>
      <c r="U130" s="17">
        <v>6501984</v>
      </c>
      <c r="V130" s="17">
        <v>5974485</v>
      </c>
      <c r="W130" s="17">
        <v>2171836</v>
      </c>
      <c r="X130" s="17">
        <v>1287654</v>
      </c>
      <c r="Y130" s="17">
        <v>1929782</v>
      </c>
      <c r="Z130" s="17">
        <v>1921164</v>
      </c>
      <c r="AA130" s="8"/>
      <c r="AB130" s="8"/>
      <c r="AC130" s="17">
        <v>15706479</v>
      </c>
      <c r="AD130" s="17">
        <v>8515945</v>
      </c>
      <c r="AE130" s="17">
        <v>4942769</v>
      </c>
      <c r="AF130" s="17">
        <v>4231905</v>
      </c>
      <c r="AG130" s="17">
        <v>4988958</v>
      </c>
      <c r="AH130" s="17">
        <v>4980944</v>
      </c>
      <c r="AI130" s="9"/>
    </row>
    <row r="131" spans="2:35" x14ac:dyDescent="0.35">
      <c r="B131" s="31"/>
      <c r="C131" s="15"/>
      <c r="D131" s="16" t="s">
        <v>29</v>
      </c>
      <c r="E131" s="17">
        <v>229629</v>
      </c>
      <c r="F131" s="17">
        <v>122951</v>
      </c>
      <c r="G131" s="17">
        <v>63397</v>
      </c>
      <c r="H131" s="17">
        <v>34800</v>
      </c>
      <c r="I131" s="17">
        <v>43320</v>
      </c>
      <c r="J131" s="17">
        <v>46037</v>
      </c>
      <c r="K131" s="8"/>
      <c r="L131" s="8"/>
      <c r="M131" s="17">
        <v>1922668</v>
      </c>
      <c r="N131" s="17">
        <v>1034686</v>
      </c>
      <c r="O131" s="17">
        <v>529518</v>
      </c>
      <c r="P131" s="17">
        <v>370183</v>
      </c>
      <c r="Q131" s="17">
        <v>426519</v>
      </c>
      <c r="R131" s="17">
        <v>444960</v>
      </c>
      <c r="S131" s="8"/>
      <c r="T131" s="8"/>
      <c r="U131" s="17">
        <v>6508052</v>
      </c>
      <c r="V131" s="17">
        <v>6111337</v>
      </c>
      <c r="W131" s="17">
        <v>2163539</v>
      </c>
      <c r="X131" s="17">
        <v>1239483</v>
      </c>
      <c r="Y131" s="17">
        <v>1854028</v>
      </c>
      <c r="Z131" s="17">
        <v>1955600</v>
      </c>
      <c r="AA131" s="8"/>
      <c r="AB131" s="8"/>
      <c r="AC131" s="17">
        <v>15650742</v>
      </c>
      <c r="AD131" s="17">
        <v>8402888</v>
      </c>
      <c r="AE131" s="17">
        <v>5106806</v>
      </c>
      <c r="AF131" s="17">
        <v>4166568</v>
      </c>
      <c r="AG131" s="17">
        <v>4875063</v>
      </c>
      <c r="AH131" s="17">
        <v>4946250</v>
      </c>
      <c r="AI131" s="9"/>
    </row>
    <row r="132" spans="2:35" x14ac:dyDescent="0.35">
      <c r="B132" s="31"/>
      <c r="C132" s="15"/>
      <c r="D132" s="16" t="s">
        <v>30</v>
      </c>
      <c r="E132" s="17">
        <v>230711</v>
      </c>
      <c r="F132" s="17">
        <v>123506</v>
      </c>
      <c r="G132" s="17">
        <v>63455</v>
      </c>
      <c r="H132" s="17">
        <v>34720</v>
      </c>
      <c r="I132" s="17">
        <v>41544</v>
      </c>
      <c r="J132" s="17">
        <v>45362</v>
      </c>
      <c r="K132" s="8"/>
      <c r="L132" s="8"/>
      <c r="M132" s="17">
        <v>1939517</v>
      </c>
      <c r="N132" s="17">
        <v>1024071</v>
      </c>
      <c r="O132" s="17">
        <v>529339</v>
      </c>
      <c r="P132" s="17">
        <v>340249</v>
      </c>
      <c r="Q132" s="17">
        <v>441186</v>
      </c>
      <c r="R132" s="17">
        <v>463602</v>
      </c>
      <c r="S132" s="8"/>
      <c r="T132" s="8"/>
      <c r="U132" s="17">
        <v>6501366</v>
      </c>
      <c r="V132" s="17">
        <v>5889917</v>
      </c>
      <c r="W132" s="17">
        <v>2169785</v>
      </c>
      <c r="X132" s="17">
        <v>1263932</v>
      </c>
      <c r="Y132" s="17">
        <v>1804652</v>
      </c>
      <c r="Z132" s="17">
        <v>1943621</v>
      </c>
      <c r="AA132" s="8"/>
      <c r="AB132" s="8"/>
      <c r="AC132" s="17">
        <v>15670127</v>
      </c>
      <c r="AD132" s="17">
        <v>8512379</v>
      </c>
      <c r="AE132" s="17">
        <v>4739423</v>
      </c>
      <c r="AF132" s="17">
        <v>4152376</v>
      </c>
      <c r="AG132" s="17">
        <v>4979370</v>
      </c>
      <c r="AH132" s="17">
        <v>4964815</v>
      </c>
      <c r="AI132" s="9"/>
    </row>
    <row r="133" spans="2:35" x14ac:dyDescent="0.35">
      <c r="B133" s="31"/>
      <c r="C133" s="15"/>
      <c r="D133" s="16" t="s">
        <v>31</v>
      </c>
      <c r="E133" s="17">
        <v>227364</v>
      </c>
      <c r="F133" s="17">
        <v>119045</v>
      </c>
      <c r="G133" s="17">
        <v>63921</v>
      </c>
      <c r="H133" s="17">
        <v>34540</v>
      </c>
      <c r="I133" s="17">
        <v>45109</v>
      </c>
      <c r="J133" s="17">
        <v>47115</v>
      </c>
      <c r="K133" s="8"/>
      <c r="L133" s="8"/>
      <c r="M133" s="17">
        <v>1925551</v>
      </c>
      <c r="N133" s="17">
        <v>1025583</v>
      </c>
      <c r="O133" s="17">
        <v>531764</v>
      </c>
      <c r="P133" s="17">
        <v>337932</v>
      </c>
      <c r="Q133" s="17">
        <v>445841</v>
      </c>
      <c r="R133" s="17">
        <v>439464</v>
      </c>
      <c r="S133" s="8"/>
      <c r="T133" s="8"/>
      <c r="U133" s="17">
        <v>6508483</v>
      </c>
      <c r="V133" s="17">
        <v>6026628</v>
      </c>
      <c r="W133" s="17">
        <v>2170604</v>
      </c>
      <c r="X133" s="17">
        <v>1239093</v>
      </c>
      <c r="Y133" s="17">
        <v>1797564</v>
      </c>
      <c r="Z133" s="17">
        <v>1946052</v>
      </c>
      <c r="AA133" s="8"/>
      <c r="AB133" s="8"/>
      <c r="AC133" s="17">
        <v>15691740</v>
      </c>
      <c r="AD133" s="17">
        <v>8360558</v>
      </c>
      <c r="AE133" s="17">
        <v>4727725</v>
      </c>
      <c r="AF133" s="17">
        <v>4101044</v>
      </c>
      <c r="AG133" s="17">
        <v>4897523</v>
      </c>
      <c r="AH133" s="17">
        <v>4920198</v>
      </c>
      <c r="AI133" s="9"/>
    </row>
    <row r="134" spans="2:35" x14ac:dyDescent="0.35">
      <c r="B134" s="31"/>
      <c r="C134" s="15"/>
      <c r="D134" s="16" t="s">
        <v>32</v>
      </c>
      <c r="E134" s="17">
        <v>227446</v>
      </c>
      <c r="F134" s="17">
        <v>118409</v>
      </c>
      <c r="G134" s="17">
        <v>63362</v>
      </c>
      <c r="H134" s="17">
        <v>35736</v>
      </c>
      <c r="I134" s="17">
        <v>43841</v>
      </c>
      <c r="J134" s="17">
        <v>47008</v>
      </c>
      <c r="K134" s="8"/>
      <c r="L134" s="8"/>
      <c r="M134" s="17">
        <v>1932720</v>
      </c>
      <c r="N134" s="17">
        <v>1032980</v>
      </c>
      <c r="O134" s="17">
        <v>529628</v>
      </c>
      <c r="P134" s="17">
        <v>371429</v>
      </c>
      <c r="Q134" s="17">
        <v>419497</v>
      </c>
      <c r="R134" s="17">
        <v>449595</v>
      </c>
      <c r="S134" s="8"/>
      <c r="T134" s="8"/>
      <c r="U134" s="17">
        <v>6491765</v>
      </c>
      <c r="V134" s="17">
        <v>5811362</v>
      </c>
      <c r="W134" s="17">
        <v>2172568</v>
      </c>
      <c r="X134" s="17">
        <v>1308882</v>
      </c>
      <c r="Y134" s="17">
        <v>1796597</v>
      </c>
      <c r="Z134" s="17">
        <v>1923449</v>
      </c>
      <c r="AA134" s="8"/>
      <c r="AB134" s="8"/>
      <c r="AC134" s="17">
        <v>15684316</v>
      </c>
      <c r="AD134" s="17">
        <v>8441220</v>
      </c>
      <c r="AE134" s="17">
        <v>4913277</v>
      </c>
      <c r="AF134" s="17">
        <v>4201013</v>
      </c>
      <c r="AG134" s="17">
        <v>4880306</v>
      </c>
      <c r="AH134" s="17">
        <v>5009382</v>
      </c>
      <c r="AI134" s="9"/>
    </row>
    <row r="135" spans="2:35" x14ac:dyDescent="0.35">
      <c r="B135" s="31"/>
      <c r="C135" s="15"/>
      <c r="D135" s="16" t="s">
        <v>33</v>
      </c>
      <c r="E135" s="17">
        <v>229785</v>
      </c>
      <c r="F135" s="17">
        <v>120591</v>
      </c>
      <c r="G135" s="17">
        <v>62937</v>
      </c>
      <c r="H135" s="17">
        <v>34251</v>
      </c>
      <c r="I135" s="17">
        <v>48488</v>
      </c>
      <c r="J135" s="17">
        <v>46403</v>
      </c>
      <c r="K135" s="8"/>
      <c r="L135" s="8"/>
      <c r="M135" s="17">
        <v>1934987</v>
      </c>
      <c r="N135" s="17">
        <v>1025773</v>
      </c>
      <c r="O135" s="17">
        <v>528447</v>
      </c>
      <c r="P135" s="17">
        <v>359589</v>
      </c>
      <c r="Q135" s="17">
        <v>433540</v>
      </c>
      <c r="R135" s="17">
        <v>448144</v>
      </c>
      <c r="S135" s="8"/>
      <c r="T135" s="8"/>
      <c r="U135" s="17">
        <v>6508208</v>
      </c>
      <c r="V135" s="17">
        <v>5858597</v>
      </c>
      <c r="W135" s="17">
        <v>2167004</v>
      </c>
      <c r="X135" s="17">
        <v>1281527</v>
      </c>
      <c r="Y135" s="17">
        <v>1838954</v>
      </c>
      <c r="Z135" s="17">
        <v>1882991</v>
      </c>
      <c r="AA135" s="8"/>
      <c r="AB135" s="8"/>
      <c r="AC135" s="17">
        <v>15672850</v>
      </c>
      <c r="AD135" s="17">
        <v>8486411</v>
      </c>
      <c r="AE135" s="17">
        <v>5164368</v>
      </c>
      <c r="AF135" s="17">
        <v>3803773</v>
      </c>
      <c r="AG135" s="17">
        <v>4889023</v>
      </c>
      <c r="AH135" s="17">
        <v>4938826</v>
      </c>
      <c r="AI135" s="9"/>
    </row>
    <row r="136" spans="2:35" x14ac:dyDescent="0.35">
      <c r="B136" s="31"/>
      <c r="C136" s="15"/>
      <c r="D136" s="16" t="s">
        <v>34</v>
      </c>
      <c r="E136" s="17">
        <v>228960</v>
      </c>
      <c r="F136" s="17">
        <v>122334</v>
      </c>
      <c r="G136" s="17">
        <v>63108</v>
      </c>
      <c r="H136" s="17">
        <v>34398</v>
      </c>
      <c r="I136" s="17">
        <v>47396</v>
      </c>
      <c r="J136" s="17">
        <v>44567</v>
      </c>
      <c r="K136" s="8"/>
      <c r="L136" s="8"/>
      <c r="M136" s="17">
        <v>1927976</v>
      </c>
      <c r="N136" s="17">
        <v>1030928</v>
      </c>
      <c r="O136" s="17">
        <v>529616</v>
      </c>
      <c r="P136" s="17">
        <v>367274</v>
      </c>
      <c r="Q136" s="17">
        <v>409506</v>
      </c>
      <c r="R136" s="17">
        <v>445573</v>
      </c>
      <c r="S136" s="8"/>
      <c r="T136" s="8"/>
      <c r="U136" s="17">
        <v>6484767</v>
      </c>
      <c r="V136" s="17">
        <v>5752015</v>
      </c>
      <c r="W136" s="17">
        <v>2165781</v>
      </c>
      <c r="X136" s="17">
        <v>1247934</v>
      </c>
      <c r="Y136" s="17">
        <v>1808487</v>
      </c>
      <c r="Z136" s="17">
        <v>1887838</v>
      </c>
      <c r="AA136" s="8"/>
      <c r="AB136" s="8"/>
      <c r="AC136" s="17">
        <v>15617668</v>
      </c>
      <c r="AD136" s="17">
        <v>8301235</v>
      </c>
      <c r="AE136" s="17">
        <v>4879133</v>
      </c>
      <c r="AF136" s="17">
        <v>4000259</v>
      </c>
      <c r="AG136" s="17">
        <v>4933988</v>
      </c>
      <c r="AH136" s="17">
        <v>5007761</v>
      </c>
      <c r="AI136" s="9"/>
    </row>
    <row r="137" spans="2:35" x14ac:dyDescent="0.35">
      <c r="B137" s="31"/>
      <c r="C137" s="15"/>
      <c r="D137" s="16" t="s">
        <v>35</v>
      </c>
      <c r="E137" s="17">
        <v>227639</v>
      </c>
      <c r="F137" s="17">
        <v>123280</v>
      </c>
      <c r="G137" s="17">
        <v>63529</v>
      </c>
      <c r="H137" s="17">
        <v>34314</v>
      </c>
      <c r="I137" s="17">
        <v>43819</v>
      </c>
      <c r="J137" s="17">
        <v>43535</v>
      </c>
      <c r="K137" s="8"/>
      <c r="L137" s="8"/>
      <c r="M137" s="17">
        <v>1933776</v>
      </c>
      <c r="N137" s="17">
        <v>1043794</v>
      </c>
      <c r="O137" s="17">
        <v>527545</v>
      </c>
      <c r="P137" s="17">
        <v>351314</v>
      </c>
      <c r="Q137" s="17">
        <v>444556</v>
      </c>
      <c r="R137" s="17">
        <v>442010</v>
      </c>
      <c r="S137" s="8"/>
      <c r="T137" s="8"/>
      <c r="U137" s="17">
        <v>6491110</v>
      </c>
      <c r="V137" s="17">
        <v>5652922</v>
      </c>
      <c r="W137" s="17">
        <v>2162992</v>
      </c>
      <c r="X137" s="17">
        <v>1323515</v>
      </c>
      <c r="Y137" s="17">
        <v>1836373</v>
      </c>
      <c r="Z137" s="17">
        <v>1937683</v>
      </c>
      <c r="AA137" s="8"/>
      <c r="AB137" s="8"/>
      <c r="AC137" s="17">
        <v>15704202</v>
      </c>
      <c r="AD137" s="17">
        <v>8111446</v>
      </c>
      <c r="AE137" s="17">
        <v>4795716</v>
      </c>
      <c r="AF137" s="17">
        <v>4096094</v>
      </c>
      <c r="AG137" s="17">
        <v>4839145</v>
      </c>
      <c r="AH137" s="17">
        <v>5101056</v>
      </c>
      <c r="AI137" s="9"/>
    </row>
    <row r="138" spans="2:35" x14ac:dyDescent="0.35">
      <c r="B138" s="31"/>
      <c r="C138" s="15"/>
      <c r="D138" s="16" t="s">
        <v>36</v>
      </c>
      <c r="E138" s="17">
        <v>227194</v>
      </c>
      <c r="F138" s="17">
        <v>123255</v>
      </c>
      <c r="G138" s="17">
        <v>62957</v>
      </c>
      <c r="H138" s="17">
        <v>38129</v>
      </c>
      <c r="I138" s="17">
        <v>41477</v>
      </c>
      <c r="J138" s="17">
        <v>47318</v>
      </c>
      <c r="K138" s="8"/>
      <c r="L138" s="8"/>
      <c r="M138" s="17">
        <v>1930726</v>
      </c>
      <c r="N138" s="17">
        <v>1037436</v>
      </c>
      <c r="O138" s="17">
        <v>533255</v>
      </c>
      <c r="P138" s="17">
        <v>361653</v>
      </c>
      <c r="Q138" s="17">
        <v>418056</v>
      </c>
      <c r="R138" s="17">
        <v>446599</v>
      </c>
      <c r="S138" s="8"/>
      <c r="T138" s="8"/>
      <c r="U138" s="17">
        <v>6513367</v>
      </c>
      <c r="V138" s="17">
        <v>6027527</v>
      </c>
      <c r="W138" s="17">
        <v>2160792</v>
      </c>
      <c r="X138" s="17">
        <v>1298467</v>
      </c>
      <c r="Y138" s="17">
        <v>1830128</v>
      </c>
      <c r="Z138" s="17">
        <v>1860689</v>
      </c>
      <c r="AA138" s="8"/>
      <c r="AB138" s="8"/>
      <c r="AC138" s="17">
        <v>15666443</v>
      </c>
      <c r="AD138" s="17">
        <v>8468412</v>
      </c>
      <c r="AE138" s="17">
        <v>5065978</v>
      </c>
      <c r="AF138" s="17">
        <v>4185724</v>
      </c>
      <c r="AG138" s="17">
        <v>4932746</v>
      </c>
      <c r="AH138" s="17">
        <v>4991877</v>
      </c>
      <c r="AI138" s="9"/>
    </row>
    <row r="139" spans="2:35" x14ac:dyDescent="0.35">
      <c r="B139" s="31"/>
      <c r="C139" s="15"/>
      <c r="D139" s="16" t="s">
        <v>37</v>
      </c>
      <c r="E139" s="17">
        <v>227380</v>
      </c>
      <c r="F139" s="17">
        <v>124709</v>
      </c>
      <c r="G139" s="17">
        <v>62644</v>
      </c>
      <c r="H139" s="17">
        <v>35649</v>
      </c>
      <c r="I139" s="17">
        <v>43600</v>
      </c>
      <c r="J139" s="17">
        <v>44888</v>
      </c>
      <c r="K139" s="8"/>
      <c r="L139" s="8"/>
      <c r="M139" s="17">
        <v>1925426</v>
      </c>
      <c r="N139" s="17">
        <v>1036527</v>
      </c>
      <c r="O139" s="17">
        <v>529419</v>
      </c>
      <c r="P139" s="17">
        <v>367704</v>
      </c>
      <c r="Q139" s="17">
        <v>434008</v>
      </c>
      <c r="R139" s="17">
        <v>432153</v>
      </c>
      <c r="S139" s="8"/>
      <c r="T139" s="8"/>
      <c r="U139" s="17">
        <v>6489767</v>
      </c>
      <c r="V139" s="17">
        <v>6393675</v>
      </c>
      <c r="W139" s="17">
        <v>2166218</v>
      </c>
      <c r="X139" s="17">
        <v>1392662</v>
      </c>
      <c r="Y139" s="17">
        <v>1783351</v>
      </c>
      <c r="Z139" s="17">
        <v>1913783</v>
      </c>
      <c r="AA139" s="8"/>
      <c r="AB139" s="8"/>
      <c r="AC139" s="17">
        <v>15676086</v>
      </c>
      <c r="AD139" s="17">
        <v>8450550</v>
      </c>
      <c r="AE139" s="17">
        <v>5203835</v>
      </c>
      <c r="AF139" s="17">
        <v>4192351</v>
      </c>
      <c r="AG139" s="17">
        <v>4909441</v>
      </c>
      <c r="AH139" s="17">
        <v>4963640</v>
      </c>
      <c r="AI139" s="9"/>
    </row>
    <row r="140" spans="2:35" x14ac:dyDescent="0.35">
      <c r="B140" s="31"/>
      <c r="C140" s="15"/>
      <c r="D140" s="16" t="s">
        <v>38</v>
      </c>
      <c r="E140" s="17">
        <v>228407</v>
      </c>
      <c r="F140" s="17">
        <v>124309</v>
      </c>
      <c r="G140" s="17">
        <v>62842</v>
      </c>
      <c r="H140" s="17">
        <v>34884</v>
      </c>
      <c r="I140" s="17">
        <v>50863</v>
      </c>
      <c r="J140" s="17">
        <v>46124</v>
      </c>
      <c r="K140" s="8"/>
      <c r="L140" s="8"/>
      <c r="M140" s="17">
        <v>1939450</v>
      </c>
      <c r="N140" s="17">
        <v>1036070</v>
      </c>
      <c r="O140" s="17">
        <v>529059</v>
      </c>
      <c r="P140" s="17">
        <v>349007</v>
      </c>
      <c r="Q140" s="17">
        <v>410338</v>
      </c>
      <c r="R140" s="17">
        <v>442000</v>
      </c>
      <c r="S140" s="8"/>
      <c r="T140" s="8"/>
      <c r="U140" s="17">
        <v>6512416</v>
      </c>
      <c r="V140" s="17">
        <v>7613566</v>
      </c>
      <c r="W140" s="17">
        <v>2165259</v>
      </c>
      <c r="X140" s="17">
        <v>1275357</v>
      </c>
      <c r="Y140" s="17">
        <v>1737747</v>
      </c>
      <c r="Z140" s="17">
        <v>1902606</v>
      </c>
      <c r="AA140" s="8"/>
      <c r="AB140" s="8"/>
      <c r="AC140" s="17">
        <v>15670636</v>
      </c>
      <c r="AD140" s="17">
        <v>8476311</v>
      </c>
      <c r="AE140" s="17">
        <v>5403090</v>
      </c>
      <c r="AF140" s="17">
        <v>3859192</v>
      </c>
      <c r="AG140" s="17">
        <v>4852005</v>
      </c>
      <c r="AH140" s="17">
        <v>5005195</v>
      </c>
      <c r="AI140" s="9"/>
    </row>
    <row r="141" spans="2:35" x14ac:dyDescent="0.35">
      <c r="B141" s="31"/>
      <c r="C141" s="15"/>
      <c r="D141" s="16" t="s">
        <v>39</v>
      </c>
      <c r="E141" s="17">
        <v>227400</v>
      </c>
      <c r="F141" s="17">
        <v>119128</v>
      </c>
      <c r="G141" s="17">
        <v>63672</v>
      </c>
      <c r="H141" s="17">
        <v>34584</v>
      </c>
      <c r="I141" s="17">
        <v>48634</v>
      </c>
      <c r="J141" s="17">
        <v>49878</v>
      </c>
      <c r="K141" s="8"/>
      <c r="L141" s="8"/>
      <c r="M141" s="17">
        <v>1924437</v>
      </c>
      <c r="N141" s="17">
        <v>1029634</v>
      </c>
      <c r="O141" s="17">
        <v>529380</v>
      </c>
      <c r="P141" s="17">
        <v>365281</v>
      </c>
      <c r="Q141" s="17">
        <v>439124</v>
      </c>
      <c r="R141" s="17">
        <v>440021</v>
      </c>
      <c r="S141" s="8"/>
      <c r="T141" s="8"/>
      <c r="U141" s="17">
        <v>6492203</v>
      </c>
      <c r="V141" s="17">
        <v>5560437</v>
      </c>
      <c r="W141" s="17">
        <v>2166761</v>
      </c>
      <c r="X141" s="17">
        <v>1290625</v>
      </c>
      <c r="Y141" s="17">
        <v>1812662</v>
      </c>
      <c r="Z141" s="17">
        <v>1862036</v>
      </c>
      <c r="AA141" s="8"/>
      <c r="AB141" s="8"/>
      <c r="AC141" s="17">
        <v>15712199</v>
      </c>
      <c r="AD141" s="17">
        <v>8541695</v>
      </c>
      <c r="AE141" s="17">
        <v>5164935</v>
      </c>
      <c r="AF141" s="17">
        <v>3888709</v>
      </c>
      <c r="AG141" s="17">
        <v>4930352</v>
      </c>
      <c r="AH141" s="17">
        <v>5114141</v>
      </c>
      <c r="AI141" s="9"/>
    </row>
    <row r="142" spans="2:35" x14ac:dyDescent="0.35">
      <c r="B142" s="31"/>
      <c r="C142" s="15"/>
      <c r="D142" s="16" t="s">
        <v>40</v>
      </c>
      <c r="E142" s="17">
        <v>225811</v>
      </c>
      <c r="F142" s="17">
        <v>122515</v>
      </c>
      <c r="G142" s="17">
        <v>62677</v>
      </c>
      <c r="H142" s="17">
        <v>34595</v>
      </c>
      <c r="I142" s="17">
        <v>52746</v>
      </c>
      <c r="J142" s="17">
        <v>45346</v>
      </c>
      <c r="K142" s="8"/>
      <c r="L142" s="8"/>
      <c r="M142" s="17">
        <v>1926211</v>
      </c>
      <c r="N142" s="17">
        <v>1031115</v>
      </c>
      <c r="O142" s="17">
        <v>528337</v>
      </c>
      <c r="P142" s="17">
        <v>359241</v>
      </c>
      <c r="Q142" s="17">
        <v>422636</v>
      </c>
      <c r="R142" s="17">
        <v>448779</v>
      </c>
      <c r="S142" s="8"/>
      <c r="T142" s="8"/>
      <c r="U142" s="17">
        <v>6502836</v>
      </c>
      <c r="V142" s="17">
        <v>6214267</v>
      </c>
      <c r="W142" s="17">
        <v>2172541</v>
      </c>
      <c r="X142" s="17">
        <v>1252985</v>
      </c>
      <c r="Y142" s="17">
        <v>1837688</v>
      </c>
      <c r="Z142" s="17">
        <v>1906961</v>
      </c>
      <c r="AA142" s="8"/>
      <c r="AB142" s="8"/>
      <c r="AC142" s="17">
        <v>15704543</v>
      </c>
      <c r="AD142" s="17">
        <v>8444358</v>
      </c>
      <c r="AE142" s="17">
        <v>5163363</v>
      </c>
      <c r="AF142" s="17">
        <v>4035168</v>
      </c>
      <c r="AG142" s="17">
        <v>4899380</v>
      </c>
      <c r="AH142" s="17">
        <v>5120582</v>
      </c>
      <c r="AI142" s="9"/>
    </row>
    <row r="143" spans="2:35" ht="16.5" customHeight="1" x14ac:dyDescent="0.35">
      <c r="B143" s="31"/>
      <c r="C143" s="19"/>
      <c r="D143" s="20" t="s">
        <v>41</v>
      </c>
      <c r="E143" s="21">
        <f t="array" ref="E143">ROUND(AVERAGE(IF((ISNUMBER(E113:E142))*(E113:E142&lt;LARGE(E113:E142,2))*(E113:E142&gt;SMALL(E113:E142,2)),E113:E142)),0)</f>
        <v>228045</v>
      </c>
      <c r="F143" s="21">
        <f t="array" ref="F143">ROUND(AVERAGE(IF((ISNUMBER(F113:F142))*(F113:F142&lt;LARGE(F113:F142,2))*(F113:F142&gt;SMALL(F113:F142,2)),F113:F142)),0)</f>
        <v>121060</v>
      </c>
      <c r="G143" s="21">
        <f t="array" ref="G143">ROUND(AVERAGE(IF((ISNUMBER(G113:G142))*(G113:G142&lt;LARGE(G113:G142,2))*(G113:G142&gt;SMALL(G113:G142,2)),G113:G142)),0)</f>
        <v>63214</v>
      </c>
      <c r="H143" s="21">
        <f t="array" ref="H143">ROUND(AVERAGE(IF((ISNUMBER(H113:H142))*(H113:H142&lt;LARGE(H113:H142,2))*(H113:H142&gt;SMALL(H113:H142,2)),H113:H142)),0)</f>
        <v>35130</v>
      </c>
      <c r="I143" s="21">
        <f t="array" ref="I143">ROUND(AVERAGE(IF((ISNUMBER(I113:I142))*(I113:I142&lt;LARGE(I113:I142,2))*(I113:I142&gt;SMALL(I113:I142,2)),I113:I142)),0)</f>
        <v>44274</v>
      </c>
      <c r="J143" s="21">
        <f t="array" ref="J143">ROUND(AVERAGE(IF((ISNUMBER(J113:J142))*(J113:J142&lt;LARGE(J113:J142,2))*(J113:J142&gt;SMALL(J113:J142,2)),J113:J142)),0)</f>
        <v>45372</v>
      </c>
      <c r="K143" s="21"/>
      <c r="L143" s="21"/>
      <c r="M143" s="21">
        <f t="array" ref="M143">ROUND(AVERAGE(IF((ISNUMBER(M113:M142))*(M113:M142&lt;LARGE(M113:M142,2))*(M113:M142&gt;SMALL(M113:M142,2)),M113:M142)),0)</f>
        <v>1931150</v>
      </c>
      <c r="N143" s="21">
        <f t="array" ref="N143">ROUND(AVERAGE(IF((ISNUMBER(N113:N142))*(N113:N142&lt;LARGE(N113:N142,2))*(N113:N142&gt;SMALL(N113:N142,2)),N113:N142)),0)</f>
        <v>1032366</v>
      </c>
      <c r="O143" s="21">
        <f t="array" ref="O143">ROUND(AVERAGE(IF((ISNUMBER(O113:O142))*(O113:O142&lt;LARGE(O113:O142,2))*(O113:O142&gt;SMALL(O113:O142,2)),O113:O142)),0)</f>
        <v>528980</v>
      </c>
      <c r="P143" s="21">
        <f t="array" ref="P143">ROUND(AVERAGE(IF((ISNUMBER(P113:P142))*(P113:P142&lt;LARGE(P113:P142,2))*(P113:P142&gt;SMALL(P113:P142,2)),P113:P142)),0)</f>
        <v>334239</v>
      </c>
      <c r="Q143" s="21">
        <f t="array" ref="Q143">ROUND(AVERAGE(IF((ISNUMBER(Q113:Q142))*(Q113:Q142&lt;LARGE(Q113:Q142,2))*(Q113:Q142&gt;SMALL(Q113:Q142,2)),Q113:Q142)),0)</f>
        <v>427698</v>
      </c>
      <c r="R143" s="21">
        <f t="array" ref="R143">ROUND(AVERAGE(IF((ISNUMBER(R113:R142))*(R113:R142&lt;LARGE(R113:R142,2))*(R113:R142&gt;SMALL(R113:R142,2)),R113:R142)),0)</f>
        <v>445507</v>
      </c>
      <c r="S143" s="21"/>
      <c r="T143" s="21"/>
      <c r="U143" s="21">
        <f t="array" ref="U143">ROUND(AVERAGE(IF((ISNUMBER(U113:U142))*(U113:U142&lt;LARGE(U113:U142,2))*(U113:U142&gt;SMALL(U113:U142,2)),U113:U142)),0)</f>
        <v>6497406</v>
      </c>
      <c r="V143" s="21">
        <f t="array" ref="V143">ROUND(AVERAGE(IF((ISNUMBER(V113:V142))*(V113:V142&lt;LARGE(V113:V142,2))*(V113:V142&gt;SMALL(V113:V142,2)),V113:V142)),0)</f>
        <v>5990299</v>
      </c>
      <c r="W143" s="21">
        <f t="array" ref="W143">ROUND(AVERAGE(IF((ISNUMBER(W113:W142))*(W113:W142&lt;LARGE(W113:W142,2))*(W113:W142&gt;SMALL(W113:W142,2)),W113:W142)),0)</f>
        <v>2171404</v>
      </c>
      <c r="X143" s="21">
        <f t="array" ref="X143">ROUND(AVERAGE(IF((ISNUMBER(X113:X142))*(X113:X142&lt;LARGE(X113:X142,2))*(X113:X142&gt;SMALL(X113:X142,2)),X113:X142)),0)</f>
        <v>1279881</v>
      </c>
      <c r="Y143" s="21">
        <f t="array" ref="Y143">ROUND(AVERAGE(IF((ISNUMBER(Y113:Y142))*(Y113:Y142&lt;LARGE(Y113:Y142,2))*(Y113:Y142&gt;SMALL(Y113:Y142,2)),Y113:Y142)),0)</f>
        <v>1818971</v>
      </c>
      <c r="Z143" s="21">
        <f t="array" ref="Z143">ROUND(AVERAGE(IF((ISNUMBER(Z113:Z142))*(Z113:Z142&lt;LARGE(Z113:Z142,2))*(Z113:Z142&gt;SMALL(Z113:Z142,2)),Z113:Z142)),0)</f>
        <v>1919674</v>
      </c>
      <c r="AA143" s="21"/>
      <c r="AB143" s="21"/>
      <c r="AC143" s="21">
        <f t="array" ref="AC143">ROUND(AVERAGE(IF((ISNUMBER(AC113:AC142))*(AC113:AC142&lt;LARGE(AC113:AC142,2))*(AC113:AC142&gt;SMALL(AC113:AC142,2)),AC113:AC142)),0)</f>
        <v>15679678</v>
      </c>
      <c r="AD143" s="21">
        <f t="array" ref="AD143">ROUND(AVERAGE(IF((ISNUMBER(AD113:AD142))*(AD113:AD142&lt;LARGE(AD113:AD142,2))*(AD113:AD142&gt;SMALL(AD113:AD142,2)),AD113:AD142)),0)</f>
        <v>8413950</v>
      </c>
      <c r="AE143" s="21">
        <f t="array" ref="AE143">ROUND(AVERAGE(IF((ISNUMBER(AE113:AE142))*(AE113:AE142&lt;LARGE(AE113:AE142,2))*(AE113:AE142&gt;SMALL(AE113:AE142,2)),AE113:AE142)),0)</f>
        <v>4817719</v>
      </c>
      <c r="AF143" s="21">
        <f t="array" ref="AF143">ROUND(AVERAGE(IF((ISNUMBER(AF113:AF142))*(AF113:AF142&lt;LARGE(AF113:AF142,2))*(AF113:AF142&gt;SMALL(AF113:AF142,2)),AF113:AF142)),0)</f>
        <v>3970813</v>
      </c>
      <c r="AG143" s="21">
        <f t="array" ref="AG143">ROUND(AVERAGE(IF((ISNUMBER(AG113:AG142))*(AG113:AG142&lt;LARGE(AG113:AG142,2))*(AG113:AG142&gt;SMALL(AG113:AG142,2)),AG113:AG142)),0)</f>
        <v>4860105</v>
      </c>
      <c r="AH143" s="22">
        <f t="array" ref="AH143">ROUND(AVERAGE(IF((ISNUMBER(AH113:AH142))*(AH113:AH142&lt;LARGE(AH113:AH142,2))*(AH113:AH142&gt;SMALL(AH113:AH142,2)),AH113:AH142)),0)</f>
        <v>4984845</v>
      </c>
      <c r="AI143" s="9"/>
    </row>
    <row r="144" spans="2:35" ht="16.5" customHeight="1" x14ac:dyDescent="0.35">
      <c r="B144" s="32"/>
      <c r="C144" s="24"/>
      <c r="D144" s="25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6"/>
    </row>
    <row r="145" spans="4:4" x14ac:dyDescent="0.35">
      <c r="D145" s="1"/>
    </row>
    <row r="146" spans="4:4" x14ac:dyDescent="0.35">
      <c r="D146" s="1"/>
    </row>
  </sheetData>
  <mergeCells count="12">
    <mergeCell ref="K76:L76"/>
    <mergeCell ref="S76:T76"/>
    <mergeCell ref="AA76:AB76"/>
    <mergeCell ref="K112:L112"/>
    <mergeCell ref="S112:T112"/>
    <mergeCell ref="AA112:AB112"/>
    <mergeCell ref="K4:L4"/>
    <mergeCell ref="S4:T4"/>
    <mergeCell ref="AA4:AB4"/>
    <mergeCell ref="K40:L40"/>
    <mergeCell ref="S40:T40"/>
    <mergeCell ref="AA40:AB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AK274"/>
  <sheetViews>
    <sheetView topLeftCell="A44" zoomScale="55" zoomScaleNormal="55" workbookViewId="0">
      <selection activeCell="B71" sqref="B71:AK73"/>
    </sheetView>
  </sheetViews>
  <sheetFormatPr baseColWidth="10" defaultColWidth="10.6328125" defaultRowHeight="14.5" x14ac:dyDescent="0.35"/>
  <cols>
    <col min="3" max="3" width="27.1796875" customWidth="1"/>
    <col min="4" max="4" width="10.90625" customWidth="1"/>
    <col min="11" max="11" width="10.90625" customWidth="1"/>
  </cols>
  <sheetData>
    <row r="5" spans="2:37" ht="20" customHeight="1" x14ac:dyDescent="0.35"/>
    <row r="6" spans="2:37" x14ac:dyDescent="0.35">
      <c r="B6" s="41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4"/>
    </row>
    <row r="7" spans="2:37" ht="37" x14ac:dyDescent="0.85">
      <c r="B7" s="42"/>
      <c r="C7" s="35" t="s">
        <v>47</v>
      </c>
      <c r="D7" s="35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36"/>
    </row>
    <row r="8" spans="2:37" x14ac:dyDescent="0.35">
      <c r="B8" s="42"/>
      <c r="C8" s="16" t="s">
        <v>48</v>
      </c>
      <c r="D8" s="16" t="s">
        <v>2</v>
      </c>
      <c r="E8" s="16" t="s">
        <v>3</v>
      </c>
      <c r="F8" s="16" t="s">
        <v>4</v>
      </c>
      <c r="G8" s="16" t="s">
        <v>5</v>
      </c>
      <c r="H8" s="16" t="s">
        <v>6</v>
      </c>
      <c r="I8" s="16" t="s">
        <v>7</v>
      </c>
      <c r="J8" s="8"/>
      <c r="K8" s="37" t="s">
        <v>48</v>
      </c>
      <c r="L8" s="37"/>
      <c r="M8" s="16" t="s">
        <v>2</v>
      </c>
      <c r="N8" s="16" t="s">
        <v>3</v>
      </c>
      <c r="O8" s="16" t="s">
        <v>4</v>
      </c>
      <c r="P8" s="16" t="s">
        <v>5</v>
      </c>
      <c r="Q8" s="16" t="s">
        <v>6</v>
      </c>
      <c r="R8" s="16" t="s">
        <v>7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36"/>
    </row>
    <row r="9" spans="2:37" x14ac:dyDescent="0.35">
      <c r="B9" s="42"/>
      <c r="C9" s="8" t="s">
        <v>49</v>
      </c>
      <c r="D9" s="8">
        <v>1</v>
      </c>
      <c r="E9" s="8">
        <f>$D10/E10</f>
        <v>1.9117264908211173</v>
      </c>
      <c r="F9" s="8">
        <f>$D10/F10</f>
        <v>3.6859189131036181</v>
      </c>
      <c r="G9" s="8">
        <f>$D10/G10</f>
        <v>3.1965133017006986</v>
      </c>
      <c r="H9" s="8">
        <f>$D10/H10</f>
        <v>3.1018391577640396</v>
      </c>
      <c r="I9" s="8">
        <f>$D10/I10</f>
        <v>2.9512933474440697</v>
      </c>
      <c r="J9" s="8"/>
      <c r="K9" s="38" t="s">
        <v>50</v>
      </c>
      <c r="L9" s="38"/>
      <c r="M9" s="8">
        <f t="shared" ref="M9:R9" si="0">(D9+D12+D15+D18)/4</f>
        <v>1</v>
      </c>
      <c r="N9" s="8">
        <f t="shared" si="0"/>
        <v>1.781816813662997</v>
      </c>
      <c r="O9" s="8">
        <f t="shared" si="0"/>
        <v>2.7045394928249569</v>
      </c>
      <c r="P9" s="8">
        <f t="shared" si="0"/>
        <v>1.7962087674912317</v>
      </c>
      <c r="Q9" s="8">
        <f t="shared" si="0"/>
        <v>1.7196602269347081</v>
      </c>
      <c r="R9" s="8">
        <f t="shared" si="0"/>
        <v>1.644645097885201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36"/>
    </row>
    <row r="10" spans="2:37" x14ac:dyDescent="0.35">
      <c r="B10" s="42"/>
      <c r="C10" s="8" t="s">
        <v>51</v>
      </c>
      <c r="D10" s="8">
        <f>'Información completa'!E35</f>
        <v>239828</v>
      </c>
      <c r="E10" s="8">
        <f>'Información completa'!F35</f>
        <v>125451</v>
      </c>
      <c r="F10" s="8">
        <f>'Información completa'!G35</f>
        <v>65066</v>
      </c>
      <c r="G10" s="8">
        <f>'Información completa'!H35</f>
        <v>75028</v>
      </c>
      <c r="H10" s="8">
        <f>'Información completa'!I35</f>
        <v>77318</v>
      </c>
      <c r="I10" s="8">
        <f>'Información completa'!J35</f>
        <v>81262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36"/>
    </row>
    <row r="11" spans="2:37" x14ac:dyDescent="0.35">
      <c r="B11" s="42"/>
      <c r="C11" s="16" t="s">
        <v>48</v>
      </c>
      <c r="D11" s="16" t="s">
        <v>2</v>
      </c>
      <c r="E11" s="16" t="s">
        <v>3</v>
      </c>
      <c r="F11" s="16" t="s">
        <v>4</v>
      </c>
      <c r="G11" s="16" t="s">
        <v>5</v>
      </c>
      <c r="H11" s="16" t="s">
        <v>6</v>
      </c>
      <c r="I11" s="16" t="s">
        <v>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36"/>
    </row>
    <row r="12" spans="2:37" x14ac:dyDescent="0.35">
      <c r="B12" s="42"/>
      <c r="C12" s="8" t="s">
        <v>52</v>
      </c>
      <c r="D12" s="8">
        <v>1</v>
      </c>
      <c r="E12" s="8">
        <f>$D13/E13</f>
        <v>1.6733977878870447</v>
      </c>
      <c r="F12" s="8">
        <f>$D13/F13</f>
        <v>2.2726744861224017</v>
      </c>
      <c r="G12" s="8">
        <f>$D13/G13</f>
        <v>1.6644800523010228</v>
      </c>
      <c r="H12" s="8">
        <f>$D13/H13</f>
        <v>1.5143280175918397</v>
      </c>
      <c r="I12" s="8">
        <f>$D13/I13</f>
        <v>1.4237324943468854</v>
      </c>
      <c r="J12" s="8"/>
      <c r="K12" s="8"/>
      <c r="L12" s="8"/>
      <c r="M12" s="8"/>
      <c r="N12" s="8"/>
      <c r="O12" s="1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36"/>
    </row>
    <row r="13" spans="2:37" x14ac:dyDescent="0.35">
      <c r="B13" s="42"/>
      <c r="C13" s="8" t="s">
        <v>53</v>
      </c>
      <c r="D13" s="8">
        <f>'Información completa'!M35</f>
        <v>2622380</v>
      </c>
      <c r="E13" s="8">
        <f>'Información completa'!N35</f>
        <v>1567099</v>
      </c>
      <c r="F13" s="8">
        <f>'Información completa'!O35</f>
        <v>1153874</v>
      </c>
      <c r="G13" s="8">
        <f>'Información completa'!P35</f>
        <v>1575495</v>
      </c>
      <c r="H13" s="8">
        <f>'Información completa'!Q35</f>
        <v>1731712</v>
      </c>
      <c r="I13" s="8">
        <f>'Información completa'!R35</f>
        <v>1841905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36"/>
    </row>
    <row r="14" spans="2:37" x14ac:dyDescent="0.35">
      <c r="B14" s="42"/>
      <c r="C14" s="16" t="s">
        <v>48</v>
      </c>
      <c r="D14" s="16" t="s">
        <v>2</v>
      </c>
      <c r="E14" s="16" t="s">
        <v>3</v>
      </c>
      <c r="F14" s="16" t="s">
        <v>4</v>
      </c>
      <c r="G14" s="16" t="s">
        <v>5</v>
      </c>
      <c r="H14" s="16" t="s">
        <v>6</v>
      </c>
      <c r="I14" s="16" t="s">
        <v>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36"/>
    </row>
    <row r="15" spans="2:37" x14ac:dyDescent="0.35">
      <c r="B15" s="42"/>
      <c r="C15" s="8" t="s">
        <v>54</v>
      </c>
      <c r="D15" s="8">
        <v>1</v>
      </c>
      <c r="E15" s="8">
        <f>$D16/E16</f>
        <v>1.802047872227589</v>
      </c>
      <c r="F15" s="8">
        <f>$D16/F16</f>
        <v>2.6436616566237592</v>
      </c>
      <c r="G15" s="8">
        <f>$D16/G16</f>
        <v>1.0127925664317932</v>
      </c>
      <c r="H15" s="8">
        <f>$D16/H16</f>
        <v>0.98817405996967045</v>
      </c>
      <c r="I15" s="8">
        <f>$D16/I16</f>
        <v>0.95878505402099012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36"/>
    </row>
    <row r="16" spans="2:37" x14ac:dyDescent="0.35">
      <c r="B16" s="42"/>
      <c r="C16" s="8" t="s">
        <v>55</v>
      </c>
      <c r="D16" s="8">
        <f>'Información completa'!U35</f>
        <v>9769152</v>
      </c>
      <c r="E16" s="8">
        <f>'Información completa'!V35</f>
        <v>5421139</v>
      </c>
      <c r="F16" s="8">
        <f>'Información completa'!W35</f>
        <v>3695311</v>
      </c>
      <c r="G16" s="8">
        <f>'Información completa'!X35</f>
        <v>9645758</v>
      </c>
      <c r="H16" s="8">
        <f>'Información completa'!Y35</f>
        <v>9886064</v>
      </c>
      <c r="I16" s="8">
        <f>'Información completa'!Z35</f>
        <v>10189095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36"/>
    </row>
    <row r="17" spans="2:37" x14ac:dyDescent="0.35">
      <c r="B17" s="42"/>
      <c r="C17" s="16" t="s">
        <v>48</v>
      </c>
      <c r="D17" s="16" t="s">
        <v>2</v>
      </c>
      <c r="E17" s="16" t="s">
        <v>3</v>
      </c>
      <c r="F17" s="16" t="s">
        <v>4</v>
      </c>
      <c r="G17" s="16" t="s">
        <v>5</v>
      </c>
      <c r="H17" s="16" t="s">
        <v>6</v>
      </c>
      <c r="I17" s="16" t="s">
        <v>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36"/>
    </row>
    <row r="18" spans="2:37" x14ac:dyDescent="0.35">
      <c r="B18" s="42"/>
      <c r="C18" s="8" t="s">
        <v>56</v>
      </c>
      <c r="D18" s="8">
        <v>1</v>
      </c>
      <c r="E18" s="8">
        <f>$D19/E19</f>
        <v>1.7400951037162371</v>
      </c>
      <c r="F18" s="8">
        <f>$D19/F19</f>
        <v>2.2159029154500485</v>
      </c>
      <c r="G18" s="8">
        <f>$D19/G19</f>
        <v>1.3110491495314127</v>
      </c>
      <c r="H18" s="8">
        <f>$D19/H19</f>
        <v>1.2742996724132829</v>
      </c>
      <c r="I18" s="8">
        <f>$D19/I19</f>
        <v>1.2447694957288591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36"/>
    </row>
    <row r="19" spans="2:37" x14ac:dyDescent="0.35">
      <c r="B19" s="42"/>
      <c r="C19" s="8" t="s">
        <v>57</v>
      </c>
      <c r="D19" s="8">
        <f>'Información completa'!AC35</f>
        <v>41982408</v>
      </c>
      <c r="E19" s="8">
        <f>'Información completa'!AD35</f>
        <v>24126502</v>
      </c>
      <c r="F19" s="8">
        <f>'Información completa'!AE35</f>
        <v>18945960</v>
      </c>
      <c r="G19" s="8">
        <f>'Información completa'!AF35</f>
        <v>32021994</v>
      </c>
      <c r="H19" s="8">
        <f>'Información completa'!AG35</f>
        <v>32945475</v>
      </c>
      <c r="I19" s="8">
        <f>'Información completa'!AH35</f>
        <v>33727054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36"/>
    </row>
    <row r="20" spans="2:37" x14ac:dyDescent="0.35">
      <c r="B20" s="42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36"/>
    </row>
    <row r="21" spans="2:37" x14ac:dyDescent="0.35">
      <c r="B21" s="42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36"/>
    </row>
    <row r="22" spans="2:37" x14ac:dyDescent="0.35">
      <c r="B22" s="42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36"/>
    </row>
    <row r="23" spans="2:37" x14ac:dyDescent="0.35">
      <c r="B23" s="42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36"/>
    </row>
    <row r="24" spans="2:37" x14ac:dyDescent="0.35">
      <c r="B24" s="42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36"/>
    </row>
    <row r="25" spans="2:37" x14ac:dyDescent="0.35">
      <c r="B25" s="42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36"/>
    </row>
    <row r="26" spans="2:37" x14ac:dyDescent="0.35">
      <c r="B26" s="42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36"/>
    </row>
    <row r="27" spans="2:37" x14ac:dyDescent="0.35">
      <c r="B27" s="42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36"/>
    </row>
    <row r="28" spans="2:37" x14ac:dyDescent="0.35">
      <c r="B28" s="42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36"/>
    </row>
    <row r="29" spans="2:37" x14ac:dyDescent="0.35">
      <c r="B29" s="42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36"/>
    </row>
    <row r="30" spans="2:37" x14ac:dyDescent="0.35">
      <c r="B30" s="42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36"/>
    </row>
    <row r="31" spans="2:37" x14ac:dyDescent="0.35">
      <c r="B31" s="42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36"/>
    </row>
    <row r="32" spans="2:37" x14ac:dyDescent="0.35">
      <c r="B32" s="42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36"/>
    </row>
    <row r="33" spans="2:37" x14ac:dyDescent="0.35">
      <c r="B33" s="4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36"/>
    </row>
    <row r="34" spans="2:37" x14ac:dyDescent="0.35">
      <c r="B34" s="42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36"/>
    </row>
    <row r="35" spans="2:37" x14ac:dyDescent="0.35">
      <c r="B35" s="42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36"/>
    </row>
    <row r="36" spans="2:37" x14ac:dyDescent="0.35">
      <c r="B36" s="42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36"/>
    </row>
    <row r="37" spans="2:37" x14ac:dyDescent="0.35">
      <c r="B37" s="42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36"/>
    </row>
    <row r="38" spans="2:37" x14ac:dyDescent="0.35">
      <c r="B38" s="42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36"/>
    </row>
    <row r="39" spans="2:37" x14ac:dyDescent="0.35">
      <c r="B39" s="4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36"/>
    </row>
    <row r="40" spans="2:37" x14ac:dyDescent="0.35">
      <c r="B40" s="42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36"/>
    </row>
    <row r="41" spans="2:37" x14ac:dyDescent="0.35">
      <c r="B41" s="42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36"/>
    </row>
    <row r="42" spans="2:37" x14ac:dyDescent="0.35">
      <c r="B42" s="42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36"/>
    </row>
    <row r="43" spans="2:37" x14ac:dyDescent="0.35">
      <c r="B43" s="42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36"/>
    </row>
    <row r="44" spans="2:37" x14ac:dyDescent="0.35">
      <c r="B44" s="42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36"/>
    </row>
    <row r="45" spans="2:37" x14ac:dyDescent="0.35">
      <c r="B45" s="42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36"/>
    </row>
    <row r="46" spans="2:37" x14ac:dyDescent="0.35">
      <c r="B46" s="42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36"/>
    </row>
    <row r="47" spans="2:37" x14ac:dyDescent="0.35">
      <c r="B47" s="42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36"/>
    </row>
    <row r="48" spans="2:37" x14ac:dyDescent="0.35">
      <c r="B48" s="42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36"/>
    </row>
    <row r="49" spans="2:37" x14ac:dyDescent="0.35">
      <c r="B49" s="42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36"/>
    </row>
    <row r="50" spans="2:37" x14ac:dyDescent="0.35">
      <c r="B50" s="42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36"/>
    </row>
    <row r="51" spans="2:37" x14ac:dyDescent="0.35">
      <c r="B51" s="42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36"/>
    </row>
    <row r="52" spans="2:37" x14ac:dyDescent="0.35">
      <c r="B52" s="42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36"/>
    </row>
    <row r="53" spans="2:37" x14ac:dyDescent="0.35">
      <c r="B53" s="42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36"/>
    </row>
    <row r="54" spans="2:37" x14ac:dyDescent="0.35">
      <c r="B54" s="42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36"/>
    </row>
    <row r="55" spans="2:37" x14ac:dyDescent="0.35">
      <c r="B55" s="42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36"/>
    </row>
    <row r="56" spans="2:37" x14ac:dyDescent="0.35">
      <c r="B56" s="42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36"/>
    </row>
    <row r="57" spans="2:37" x14ac:dyDescent="0.35">
      <c r="B57" s="42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36"/>
    </row>
    <row r="58" spans="2:37" x14ac:dyDescent="0.35">
      <c r="B58" s="42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36"/>
    </row>
    <row r="59" spans="2:37" x14ac:dyDescent="0.35">
      <c r="B59" s="42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36"/>
    </row>
    <row r="60" spans="2:37" x14ac:dyDescent="0.35">
      <c r="B60" s="42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36"/>
    </row>
    <row r="61" spans="2:37" x14ac:dyDescent="0.35">
      <c r="B61" s="42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36"/>
    </row>
    <row r="62" spans="2:37" x14ac:dyDescent="0.35">
      <c r="B62" s="42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36"/>
    </row>
    <row r="63" spans="2:37" x14ac:dyDescent="0.35">
      <c r="B63" s="42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36"/>
    </row>
    <row r="64" spans="2:37" x14ac:dyDescent="0.35">
      <c r="B64" s="42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36"/>
    </row>
    <row r="65" spans="2:37" x14ac:dyDescent="0.35">
      <c r="B65" s="42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36"/>
    </row>
    <row r="66" spans="2:37" x14ac:dyDescent="0.35">
      <c r="B66" s="42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36"/>
    </row>
    <row r="67" spans="2:37" x14ac:dyDescent="0.35">
      <c r="B67" s="42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36"/>
    </row>
    <row r="68" spans="2:37" x14ac:dyDescent="0.35">
      <c r="B68" s="42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36"/>
    </row>
    <row r="69" spans="2:37" x14ac:dyDescent="0.35">
      <c r="B69" s="42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36"/>
    </row>
    <row r="70" spans="2:37" ht="28.5" customHeight="1" x14ac:dyDescent="0.35">
      <c r="B70" s="43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40"/>
    </row>
    <row r="71" spans="2:37" x14ac:dyDescent="0.35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</row>
    <row r="72" spans="2:37" x14ac:dyDescent="0.35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</row>
    <row r="73" spans="2:37" x14ac:dyDescent="0.35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</row>
    <row r="74" spans="2:37" x14ac:dyDescent="0.35">
      <c r="B74" s="41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4"/>
    </row>
    <row r="75" spans="2:37" ht="37" x14ac:dyDescent="0.85">
      <c r="B75" s="42"/>
      <c r="C75" s="35" t="s">
        <v>58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36"/>
    </row>
    <row r="76" spans="2:37" x14ac:dyDescent="0.35">
      <c r="B76" s="42"/>
      <c r="C76" s="16" t="s">
        <v>48</v>
      </c>
      <c r="D76" s="16" t="s">
        <v>2</v>
      </c>
      <c r="E76" s="16" t="s">
        <v>3</v>
      </c>
      <c r="F76" s="16" t="s">
        <v>4</v>
      </c>
      <c r="G76" s="16" t="s">
        <v>5</v>
      </c>
      <c r="H76" s="16" t="s">
        <v>6</v>
      </c>
      <c r="I76" s="16" t="s">
        <v>7</v>
      </c>
      <c r="J76" s="8"/>
      <c r="K76" s="37" t="s">
        <v>48</v>
      </c>
      <c r="L76" s="37"/>
      <c r="M76" s="16" t="s">
        <v>2</v>
      </c>
      <c r="N76" s="16" t="s">
        <v>3</v>
      </c>
      <c r="O76" s="16" t="s">
        <v>4</v>
      </c>
      <c r="P76" s="16" t="s">
        <v>5</v>
      </c>
      <c r="Q76" s="16" t="s">
        <v>6</v>
      </c>
      <c r="R76" s="16" t="s">
        <v>7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36"/>
    </row>
    <row r="77" spans="2:37" x14ac:dyDescent="0.35">
      <c r="B77" s="42"/>
      <c r="C77" s="8" t="s">
        <v>49</v>
      </c>
      <c r="D77" s="8">
        <v>1</v>
      </c>
      <c r="E77" s="8">
        <f>$D78/E78</f>
        <v>1.87800386551973</v>
      </c>
      <c r="F77" s="8">
        <f>$D78/F78</f>
        <v>3.5500760509933671</v>
      </c>
      <c r="G77" s="8">
        <f>$D78/G78</f>
        <v>6.1972790977772911</v>
      </c>
      <c r="H77" s="8">
        <f>$D78/H78</f>
        <v>5.1012595480047764</v>
      </c>
      <c r="I77" s="8">
        <f>$D78/I78</f>
        <v>4.3332440140103738</v>
      </c>
      <c r="J77" s="8"/>
      <c r="K77" s="38" t="s">
        <v>50</v>
      </c>
      <c r="L77" s="38"/>
      <c r="M77" s="8">
        <f t="shared" ref="M77:R77" si="1">(D77+D80+D83+D86)/4</f>
        <v>1</v>
      </c>
      <c r="N77" s="8">
        <f t="shared" si="1"/>
        <v>1.8601607973329608</v>
      </c>
      <c r="O77" s="8">
        <f t="shared" si="1"/>
        <v>3.0617384009211124</v>
      </c>
      <c r="P77" s="8">
        <f t="shared" si="1"/>
        <v>4.9439653027512707</v>
      </c>
      <c r="Q77" s="8">
        <f t="shared" si="1"/>
        <v>3.9513775143467162</v>
      </c>
      <c r="R77" s="8">
        <f t="shared" si="1"/>
        <v>3.5425757785280574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36"/>
    </row>
    <row r="78" spans="2:37" x14ac:dyDescent="0.35">
      <c r="B78" s="42"/>
      <c r="C78" s="8" t="s">
        <v>51</v>
      </c>
      <c r="D78" s="8">
        <f>'Información completa'!E71</f>
        <v>226399</v>
      </c>
      <c r="E78" s="8">
        <f>'Información completa'!F71</f>
        <v>120553</v>
      </c>
      <c r="F78" s="8">
        <f>'Información completa'!G71</f>
        <v>63773</v>
      </c>
      <c r="G78" s="8">
        <f>'Información completa'!H71</f>
        <v>36532</v>
      </c>
      <c r="H78" s="8">
        <f>'Información completa'!I71</f>
        <v>44381</v>
      </c>
      <c r="I78" s="8">
        <f>'Información completa'!J71</f>
        <v>52247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36"/>
    </row>
    <row r="79" spans="2:37" x14ac:dyDescent="0.35">
      <c r="B79" s="42"/>
      <c r="C79" s="16" t="s">
        <v>48</v>
      </c>
      <c r="D79" s="16" t="s">
        <v>2</v>
      </c>
      <c r="E79" s="16" t="s">
        <v>3</v>
      </c>
      <c r="F79" s="16" t="s">
        <v>4</v>
      </c>
      <c r="G79" s="16" t="s">
        <v>5</v>
      </c>
      <c r="H79" s="16" t="s">
        <v>6</v>
      </c>
      <c r="I79" s="16" t="s">
        <v>7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36"/>
    </row>
    <row r="80" spans="2:37" x14ac:dyDescent="0.35">
      <c r="B80" s="42"/>
      <c r="C80" s="8" t="s">
        <v>52</v>
      </c>
      <c r="D80" s="8">
        <v>1</v>
      </c>
      <c r="E80" s="8">
        <f>$D81/E81</f>
        <v>1.8485297045811053</v>
      </c>
      <c r="F80" s="8">
        <f>$D81/F81</f>
        <v>2.895601436265709</v>
      </c>
      <c r="G80" s="8">
        <f>$D81/G81</f>
        <v>4.7740078414452745</v>
      </c>
      <c r="H80" s="8">
        <f>$D81/H81</f>
        <v>4.1687304094118058</v>
      </c>
      <c r="I80" s="8">
        <f>$D81/I81</f>
        <v>3.793519079587313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36"/>
    </row>
    <row r="81" spans="2:37" x14ac:dyDescent="0.35">
      <c r="B81" s="42"/>
      <c r="C81" s="8" t="s">
        <v>53</v>
      </c>
      <c r="D81" s="8">
        <f>'Información completa'!M71</f>
        <v>1903163</v>
      </c>
      <c r="E81" s="8">
        <f>'Información completa'!N71</f>
        <v>1029555</v>
      </c>
      <c r="F81" s="8">
        <f>'Información completa'!O71</f>
        <v>657260</v>
      </c>
      <c r="G81" s="8">
        <f>'Información completa'!P71</f>
        <v>398651</v>
      </c>
      <c r="H81" s="8">
        <f>'Información completa'!Q71</f>
        <v>456533</v>
      </c>
      <c r="I81" s="8">
        <f>'Información completa'!R71</f>
        <v>501688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36"/>
    </row>
    <row r="82" spans="2:37" x14ac:dyDescent="0.35">
      <c r="B82" s="42"/>
      <c r="C82" s="16" t="s">
        <v>48</v>
      </c>
      <c r="D82" s="16" t="s">
        <v>2</v>
      </c>
      <c r="E82" s="16" t="s">
        <v>3</v>
      </c>
      <c r="F82" s="16" t="s">
        <v>4</v>
      </c>
      <c r="G82" s="16" t="s">
        <v>5</v>
      </c>
      <c r="H82" s="16" t="s">
        <v>6</v>
      </c>
      <c r="I82" s="16" t="s">
        <v>7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36"/>
    </row>
    <row r="83" spans="2:37" x14ac:dyDescent="0.35">
      <c r="B83" s="42"/>
      <c r="C83" s="8" t="s">
        <v>56</v>
      </c>
      <c r="D83" s="8">
        <v>1</v>
      </c>
      <c r="E83" s="8">
        <f>$D84/E84</f>
        <v>1.8711796861122729</v>
      </c>
      <c r="F83" s="8">
        <f>$D84/F84</f>
        <v>2.9063258570413355</v>
      </c>
      <c r="G83" s="8">
        <f>$D84/G84</f>
        <v>4.7382597321381281</v>
      </c>
      <c r="H83" s="8">
        <f>$D84/H84</f>
        <v>3.4468470588980353</v>
      </c>
      <c r="I83" s="8">
        <f>$D84/I84</f>
        <v>3.0783820025593469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36"/>
    </row>
    <row r="84" spans="2:37" x14ac:dyDescent="0.35">
      <c r="B84" s="42"/>
      <c r="C84" s="8" t="s">
        <v>57</v>
      </c>
      <c r="D84" s="8">
        <f>'Información completa'!U71</f>
        <v>6531203</v>
      </c>
      <c r="E84" s="8">
        <f>'Información completa'!V71</f>
        <v>3490420</v>
      </c>
      <c r="F84" s="8">
        <f>'Información completa'!W71</f>
        <v>2247237</v>
      </c>
      <c r="G84" s="8">
        <f>'Información completa'!X71</f>
        <v>1378397</v>
      </c>
      <c r="H84" s="8">
        <f>'Información completa'!Y71</f>
        <v>1894834</v>
      </c>
      <c r="I84" s="8">
        <f>'Información completa'!Z71</f>
        <v>2121635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36"/>
    </row>
    <row r="85" spans="2:37" x14ac:dyDescent="0.35">
      <c r="B85" s="42"/>
      <c r="C85" s="16" t="s">
        <v>48</v>
      </c>
      <c r="D85" s="16" t="s">
        <v>2</v>
      </c>
      <c r="E85" s="16" t="s">
        <v>3</v>
      </c>
      <c r="F85" s="16" t="s">
        <v>4</v>
      </c>
      <c r="G85" s="16" t="s">
        <v>5</v>
      </c>
      <c r="H85" s="16" t="s">
        <v>6</v>
      </c>
      <c r="I85" s="16" t="s">
        <v>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36"/>
    </row>
    <row r="86" spans="2:37" x14ac:dyDescent="0.35">
      <c r="B86" s="42"/>
      <c r="C86" s="8" t="s">
        <v>59</v>
      </c>
      <c r="D86" s="8">
        <v>1</v>
      </c>
      <c r="E86" s="8">
        <f>$D87/E87</f>
        <v>1.842929933118735</v>
      </c>
      <c r="F86" s="8">
        <f>$D87/F87</f>
        <v>2.8949502593840393</v>
      </c>
      <c r="G86" s="8">
        <f>$D87/G87</f>
        <v>4.0663145396443872</v>
      </c>
      <c r="H86" s="8">
        <f>$D87/H87</f>
        <v>3.0886730410722483</v>
      </c>
      <c r="I86" s="8">
        <f>$D87/I87</f>
        <v>2.9651580179551962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36"/>
    </row>
    <row r="87" spans="2:37" x14ac:dyDescent="0.35">
      <c r="B87" s="42"/>
      <c r="C87" s="8" t="s">
        <v>60</v>
      </c>
      <c r="D87" s="8">
        <f>'Información completa'!AC71</f>
        <v>15469517</v>
      </c>
      <c r="E87" s="8">
        <f>'Información completa'!AD71</f>
        <v>8393980</v>
      </c>
      <c r="F87" s="8">
        <f>'Información completa'!AE71</f>
        <v>5343621</v>
      </c>
      <c r="G87" s="8">
        <f>'Información completa'!AF71</f>
        <v>3804309</v>
      </c>
      <c r="H87" s="8">
        <f>'Información completa'!AG71</f>
        <v>5008467</v>
      </c>
      <c r="I87" s="8">
        <f>'Información completa'!AH71</f>
        <v>5217097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36"/>
    </row>
    <row r="88" spans="2:37" x14ac:dyDescent="0.35">
      <c r="B88" s="42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36"/>
    </row>
    <row r="89" spans="2:37" x14ac:dyDescent="0.35">
      <c r="B89" s="42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36"/>
    </row>
    <row r="90" spans="2:37" x14ac:dyDescent="0.35">
      <c r="B90" s="42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36"/>
    </row>
    <row r="91" spans="2:37" x14ac:dyDescent="0.35">
      <c r="B91" s="42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36"/>
    </row>
    <row r="92" spans="2:37" x14ac:dyDescent="0.35">
      <c r="B92" s="42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36"/>
    </row>
    <row r="93" spans="2:37" x14ac:dyDescent="0.35">
      <c r="B93" s="42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36"/>
    </row>
    <row r="94" spans="2:37" x14ac:dyDescent="0.35">
      <c r="B94" s="42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36"/>
    </row>
    <row r="95" spans="2:37" x14ac:dyDescent="0.35">
      <c r="B95" s="42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36"/>
    </row>
    <row r="96" spans="2:37" x14ac:dyDescent="0.35">
      <c r="B96" s="42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36"/>
    </row>
    <row r="97" spans="2:37" x14ac:dyDescent="0.35">
      <c r="B97" s="42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36"/>
    </row>
    <row r="98" spans="2:37" x14ac:dyDescent="0.35">
      <c r="B98" s="42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36"/>
    </row>
    <row r="99" spans="2:37" x14ac:dyDescent="0.35">
      <c r="B99" s="42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36"/>
    </row>
    <row r="100" spans="2:37" x14ac:dyDescent="0.35">
      <c r="B100" s="42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36"/>
    </row>
    <row r="101" spans="2:37" x14ac:dyDescent="0.35">
      <c r="B101" s="42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36"/>
    </row>
    <row r="102" spans="2:37" x14ac:dyDescent="0.35">
      <c r="B102" s="42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36"/>
    </row>
    <row r="103" spans="2:37" x14ac:dyDescent="0.35">
      <c r="B103" s="42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36"/>
    </row>
    <row r="104" spans="2:37" x14ac:dyDescent="0.35">
      <c r="B104" s="42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36"/>
    </row>
    <row r="105" spans="2:37" x14ac:dyDescent="0.35">
      <c r="B105" s="42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36"/>
    </row>
    <row r="106" spans="2:37" x14ac:dyDescent="0.35">
      <c r="B106" s="42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36"/>
    </row>
    <row r="107" spans="2:37" x14ac:dyDescent="0.35">
      <c r="B107" s="42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36"/>
    </row>
    <row r="108" spans="2:37" x14ac:dyDescent="0.35">
      <c r="B108" s="42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36"/>
    </row>
    <row r="109" spans="2:37" x14ac:dyDescent="0.35">
      <c r="B109" s="42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36"/>
    </row>
    <row r="110" spans="2:37" x14ac:dyDescent="0.35">
      <c r="B110" s="42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36"/>
    </row>
    <row r="111" spans="2:37" x14ac:dyDescent="0.35">
      <c r="B111" s="42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36"/>
    </row>
    <row r="112" spans="2:37" x14ac:dyDescent="0.35">
      <c r="B112" s="42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36"/>
    </row>
    <row r="113" spans="2:37" x14ac:dyDescent="0.35">
      <c r="B113" s="42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36"/>
    </row>
    <row r="114" spans="2:37" x14ac:dyDescent="0.35">
      <c r="B114" s="42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36"/>
    </row>
    <row r="115" spans="2:37" x14ac:dyDescent="0.35">
      <c r="B115" s="42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36"/>
    </row>
    <row r="116" spans="2:37" x14ac:dyDescent="0.35">
      <c r="B116" s="42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36"/>
    </row>
    <row r="117" spans="2:37" x14ac:dyDescent="0.35">
      <c r="B117" s="42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36"/>
    </row>
    <row r="118" spans="2:37" x14ac:dyDescent="0.35">
      <c r="B118" s="42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36"/>
    </row>
    <row r="119" spans="2:37" x14ac:dyDescent="0.35">
      <c r="B119" s="42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36"/>
    </row>
    <row r="120" spans="2:37" x14ac:dyDescent="0.35">
      <c r="B120" s="42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36"/>
    </row>
    <row r="121" spans="2:37" x14ac:dyDescent="0.35">
      <c r="B121" s="42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36"/>
    </row>
    <row r="122" spans="2:37" x14ac:dyDescent="0.35">
      <c r="B122" s="42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36"/>
    </row>
    <row r="123" spans="2:37" x14ac:dyDescent="0.35">
      <c r="B123" s="42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36"/>
    </row>
    <row r="124" spans="2:37" x14ac:dyDescent="0.35">
      <c r="B124" s="42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36"/>
    </row>
    <row r="125" spans="2:37" x14ac:dyDescent="0.35">
      <c r="B125" s="42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36"/>
    </row>
    <row r="126" spans="2:37" x14ac:dyDescent="0.35">
      <c r="B126" s="42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36"/>
    </row>
    <row r="127" spans="2:37" x14ac:dyDescent="0.35">
      <c r="B127" s="42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36"/>
    </row>
    <row r="128" spans="2:37" x14ac:dyDescent="0.35">
      <c r="B128" s="42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36"/>
    </row>
    <row r="129" spans="2:37" x14ac:dyDescent="0.35">
      <c r="B129" s="42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36"/>
    </row>
    <row r="130" spans="2:37" x14ac:dyDescent="0.35">
      <c r="B130" s="42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36"/>
    </row>
    <row r="131" spans="2:37" x14ac:dyDescent="0.35">
      <c r="B131" s="42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36"/>
    </row>
    <row r="132" spans="2:37" x14ac:dyDescent="0.35">
      <c r="B132" s="42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36"/>
    </row>
    <row r="133" spans="2:37" x14ac:dyDescent="0.35">
      <c r="B133" s="42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36"/>
    </row>
    <row r="134" spans="2:37" x14ac:dyDescent="0.35">
      <c r="B134" s="42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36"/>
    </row>
    <row r="135" spans="2:37" x14ac:dyDescent="0.35">
      <c r="B135" s="42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36"/>
    </row>
    <row r="136" spans="2:37" x14ac:dyDescent="0.35">
      <c r="B136" s="42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36"/>
    </row>
    <row r="137" spans="2:37" x14ac:dyDescent="0.35">
      <c r="B137" s="42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36"/>
    </row>
    <row r="138" spans="2:37" ht="28.5" customHeight="1" x14ac:dyDescent="0.35">
      <c r="B138" s="43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40"/>
    </row>
    <row r="139" spans="2:37" x14ac:dyDescent="0.35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</row>
    <row r="140" spans="2:37" x14ac:dyDescent="0.35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</row>
    <row r="141" spans="2:37" x14ac:dyDescent="0.35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</row>
    <row r="142" spans="2:37" x14ac:dyDescent="0.35">
      <c r="B142" s="41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4"/>
    </row>
    <row r="143" spans="2:37" ht="37" x14ac:dyDescent="0.85">
      <c r="B143" s="42"/>
      <c r="C143" s="35" t="s">
        <v>61</v>
      </c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36"/>
    </row>
    <row r="144" spans="2:37" x14ac:dyDescent="0.35">
      <c r="B144" s="42"/>
      <c r="C144" s="16" t="s">
        <v>48</v>
      </c>
      <c r="D144" s="16" t="s">
        <v>2</v>
      </c>
      <c r="E144" s="16" t="s">
        <v>3</v>
      </c>
      <c r="F144" s="16" t="s">
        <v>4</v>
      </c>
      <c r="G144" s="16" t="s">
        <v>5</v>
      </c>
      <c r="H144" s="16" t="s">
        <v>6</v>
      </c>
      <c r="I144" s="16" t="s">
        <v>7</v>
      </c>
      <c r="J144" s="8"/>
      <c r="K144" s="37" t="s">
        <v>48</v>
      </c>
      <c r="L144" s="37"/>
      <c r="M144" s="16" t="s">
        <v>2</v>
      </c>
      <c r="N144" s="16" t="s">
        <v>3</v>
      </c>
      <c r="O144" s="16" t="s">
        <v>4</v>
      </c>
      <c r="P144" s="16" t="s">
        <v>5</v>
      </c>
      <c r="Q144" s="16" t="s">
        <v>6</v>
      </c>
      <c r="R144" s="16" t="s">
        <v>7</v>
      </c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36"/>
    </row>
    <row r="145" spans="2:37" x14ac:dyDescent="0.35">
      <c r="B145" s="42"/>
      <c r="C145" s="8" t="s">
        <v>49</v>
      </c>
      <c r="D145" s="8">
        <v>1</v>
      </c>
      <c r="E145" s="8">
        <f>$D146/E146</f>
        <v>1.9950743650736442</v>
      </c>
      <c r="F145" s="8">
        <f>$D146/F146</f>
        <v>3.8922326911357992</v>
      </c>
      <c r="G145" s="8">
        <f>$D146/G146</f>
        <v>6.603547001749642</v>
      </c>
      <c r="H145" s="8">
        <f>$D146/H146</f>
        <v>5.5932054966768456</v>
      </c>
      <c r="I145" s="8">
        <f>$D146/I146</f>
        <v>6.4682558230116074</v>
      </c>
      <c r="J145" s="8"/>
      <c r="K145" s="38" t="s">
        <v>50</v>
      </c>
      <c r="L145" s="38"/>
      <c r="M145" s="8">
        <f t="shared" ref="M145:R145" si="2">(D145+D148+D151+D154)/4</f>
        <v>1</v>
      </c>
      <c r="N145" s="8">
        <f t="shared" si="2"/>
        <v>1.8274080274693731</v>
      </c>
      <c r="O145" s="8">
        <f t="shared" si="2"/>
        <v>2.8525206522818252</v>
      </c>
      <c r="P145" s="8">
        <f t="shared" si="2"/>
        <v>2.8472598673916409</v>
      </c>
      <c r="Q145" s="8">
        <f t="shared" si="2"/>
        <v>2.5772873420167044</v>
      </c>
      <c r="R145" s="8">
        <f t="shared" si="2"/>
        <v>2.7739851087114888</v>
      </c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36"/>
    </row>
    <row r="146" spans="2:37" x14ac:dyDescent="0.35">
      <c r="B146" s="42"/>
      <c r="C146" s="8" t="s">
        <v>51</v>
      </c>
      <c r="D146" s="8">
        <f>'Información completa'!E107</f>
        <v>249099</v>
      </c>
      <c r="E146" s="8">
        <f>'Información completa'!F107</f>
        <v>124857</v>
      </c>
      <c r="F146" s="8">
        <f>'Información completa'!G107</f>
        <v>63999</v>
      </c>
      <c r="G146" s="8">
        <f>'Información completa'!H107</f>
        <v>37722</v>
      </c>
      <c r="H146" s="8">
        <f>'Información completa'!I107</f>
        <v>44536</v>
      </c>
      <c r="I146" s="8">
        <f>'Información completa'!J107</f>
        <v>38511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36"/>
    </row>
    <row r="147" spans="2:37" x14ac:dyDescent="0.35">
      <c r="B147" s="42"/>
      <c r="C147" s="16" t="s">
        <v>48</v>
      </c>
      <c r="D147" s="16" t="s">
        <v>2</v>
      </c>
      <c r="E147" s="16" t="s">
        <v>3</v>
      </c>
      <c r="F147" s="16" t="s">
        <v>4</v>
      </c>
      <c r="G147" s="16" t="s">
        <v>5</v>
      </c>
      <c r="H147" s="16" t="s">
        <v>6</v>
      </c>
      <c r="I147" s="16" t="s">
        <v>7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36"/>
    </row>
    <row r="148" spans="2:37" x14ac:dyDescent="0.35">
      <c r="B148" s="42"/>
      <c r="C148" s="8" t="s">
        <v>52</v>
      </c>
      <c r="D148" s="8">
        <v>1</v>
      </c>
      <c r="E148" s="8">
        <f>$D149/E149</f>
        <v>1.7074103140082038</v>
      </c>
      <c r="F148" s="8">
        <f>$D149/F149</f>
        <v>2.8411252307750869</v>
      </c>
      <c r="G148" s="8">
        <f>$D149/G149</f>
        <v>1.9359023592433418</v>
      </c>
      <c r="H148" s="8">
        <f>$D149/H149</f>
        <v>1.8859737107537153</v>
      </c>
      <c r="I148" s="8">
        <f>$D149/I149</f>
        <v>1.853396250752726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36"/>
    </row>
    <row r="149" spans="2:37" x14ac:dyDescent="0.35">
      <c r="B149" s="42"/>
      <c r="C149" s="8" t="s">
        <v>53</v>
      </c>
      <c r="D149" s="8">
        <f>'Información completa'!M107</f>
        <v>2686926</v>
      </c>
      <c r="E149" s="8">
        <f>'Información completa'!N107</f>
        <v>1573685</v>
      </c>
      <c r="F149" s="8">
        <f>'Información completa'!O107</f>
        <v>945726</v>
      </c>
      <c r="G149" s="8">
        <f>'Información completa'!P107</f>
        <v>1387945</v>
      </c>
      <c r="H149" s="8">
        <f>'Información completa'!Q107</f>
        <v>1424689</v>
      </c>
      <c r="I149" s="8">
        <f>'Información completa'!R107</f>
        <v>1449731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36"/>
    </row>
    <row r="150" spans="2:37" x14ac:dyDescent="0.35">
      <c r="B150" s="42"/>
      <c r="C150" s="16" t="s">
        <v>48</v>
      </c>
      <c r="D150" s="16" t="s">
        <v>2</v>
      </c>
      <c r="E150" s="16" t="s">
        <v>3</v>
      </c>
      <c r="F150" s="16" t="s">
        <v>4</v>
      </c>
      <c r="G150" s="16" t="s">
        <v>5</v>
      </c>
      <c r="H150" s="16" t="s">
        <v>6</v>
      </c>
      <c r="I150" s="16" t="s">
        <v>7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36"/>
    </row>
    <row r="151" spans="2:37" x14ac:dyDescent="0.35">
      <c r="B151" s="42"/>
      <c r="C151" s="8" t="s">
        <v>56</v>
      </c>
      <c r="D151" s="8">
        <v>1</v>
      </c>
      <c r="E151" s="8">
        <f>$D152/E152</f>
        <v>1.8810972540769668</v>
      </c>
      <c r="F151" s="8">
        <f>$D152/F152</f>
        <v>2.5195405038528729</v>
      </c>
      <c r="G151" s="8">
        <f>$D152/G152</f>
        <v>1.3082299123658301</v>
      </c>
      <c r="H151" s="8">
        <f>$D152/H152</f>
        <v>1.2977836637757634</v>
      </c>
      <c r="I151" s="8">
        <f>$D152/I152</f>
        <v>1.2760110597926124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36"/>
    </row>
    <row r="152" spans="2:37" x14ac:dyDescent="0.35">
      <c r="B152" s="42"/>
      <c r="C152" s="8" t="s">
        <v>57</v>
      </c>
      <c r="D152" s="8">
        <f>'Información completa'!U107</f>
        <v>11268335</v>
      </c>
      <c r="E152" s="8">
        <f>'Información completa'!V107</f>
        <v>5990299</v>
      </c>
      <c r="F152" s="8">
        <f>'Información completa'!W107</f>
        <v>4472377</v>
      </c>
      <c r="G152" s="8">
        <f>'Información completa'!X107</f>
        <v>8613421</v>
      </c>
      <c r="H152" s="8">
        <f>'Información completa'!Y107</f>
        <v>8682753</v>
      </c>
      <c r="I152" s="8">
        <f>'Información completa'!Z107</f>
        <v>8830907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36"/>
    </row>
    <row r="153" spans="2:37" x14ac:dyDescent="0.35">
      <c r="B153" s="42"/>
      <c r="C153" s="16" t="s">
        <v>48</v>
      </c>
      <c r="D153" s="16" t="s">
        <v>2</v>
      </c>
      <c r="E153" s="16" t="s">
        <v>3</v>
      </c>
      <c r="F153" s="16" t="s">
        <v>4</v>
      </c>
      <c r="G153" s="16" t="s">
        <v>5</v>
      </c>
      <c r="H153" s="16" t="s">
        <v>6</v>
      </c>
      <c r="I153" s="16" t="s">
        <v>7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36"/>
    </row>
    <row r="154" spans="2:37" x14ac:dyDescent="0.35">
      <c r="B154" s="42"/>
      <c r="C154" s="8" t="s">
        <v>59</v>
      </c>
      <c r="D154" s="8">
        <v>1</v>
      </c>
      <c r="E154" s="8">
        <f>$D155/E155</f>
        <v>1.7260501767186773</v>
      </c>
      <c r="F154" s="8">
        <f>$D155/F155</f>
        <v>2.1571841833635417</v>
      </c>
      <c r="G154" s="8">
        <f>$D155/G155</f>
        <v>1.541360196207749</v>
      </c>
      <c r="H154" s="8">
        <f>$D155/H155</f>
        <v>1.5321864968604935</v>
      </c>
      <c r="I154" s="8">
        <f>$D155/I155</f>
        <v>1.49827730128901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36"/>
    </row>
    <row r="155" spans="2:37" x14ac:dyDescent="0.35">
      <c r="B155" s="42"/>
      <c r="C155" s="8" t="s">
        <v>60</v>
      </c>
      <c r="D155" s="8">
        <f>'Información completa'!AC107</f>
        <v>41932140</v>
      </c>
      <c r="E155" s="8">
        <f>'Información completa'!AD107</f>
        <v>24293697</v>
      </c>
      <c r="F155" s="8">
        <f>'Información completa'!AE107</f>
        <v>19438368</v>
      </c>
      <c r="G155" s="8">
        <f>'Información completa'!AF107</f>
        <v>27204634</v>
      </c>
      <c r="H155" s="8">
        <f>'Información completa'!AG107</f>
        <v>27367517</v>
      </c>
      <c r="I155" s="8">
        <f>'Información completa'!AH107</f>
        <v>27986902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36"/>
    </row>
    <row r="156" spans="2:37" x14ac:dyDescent="0.35">
      <c r="B156" s="42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36"/>
    </row>
    <row r="157" spans="2:37" x14ac:dyDescent="0.35">
      <c r="B157" s="42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36"/>
    </row>
    <row r="158" spans="2:37" x14ac:dyDescent="0.35">
      <c r="B158" s="42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36"/>
    </row>
    <row r="159" spans="2:37" x14ac:dyDescent="0.35">
      <c r="B159" s="42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36"/>
    </row>
    <row r="160" spans="2:37" x14ac:dyDescent="0.35">
      <c r="B160" s="42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36"/>
    </row>
    <row r="161" spans="2:37" x14ac:dyDescent="0.35">
      <c r="B161" s="42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36"/>
    </row>
    <row r="162" spans="2:37" x14ac:dyDescent="0.35">
      <c r="B162" s="42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36"/>
    </row>
    <row r="163" spans="2:37" x14ac:dyDescent="0.35">
      <c r="B163" s="42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36"/>
    </row>
    <row r="164" spans="2:37" x14ac:dyDescent="0.35">
      <c r="B164" s="42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36"/>
    </row>
    <row r="165" spans="2:37" x14ac:dyDescent="0.35">
      <c r="B165" s="42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36"/>
    </row>
    <row r="166" spans="2:37" x14ac:dyDescent="0.35">
      <c r="B166" s="42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36"/>
    </row>
    <row r="167" spans="2:37" x14ac:dyDescent="0.35">
      <c r="B167" s="42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36"/>
    </row>
    <row r="168" spans="2:37" x14ac:dyDescent="0.35">
      <c r="B168" s="42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36"/>
    </row>
    <row r="169" spans="2:37" x14ac:dyDescent="0.35">
      <c r="B169" s="42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36"/>
    </row>
    <row r="170" spans="2:37" x14ac:dyDescent="0.35">
      <c r="B170" s="42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36"/>
    </row>
    <row r="171" spans="2:37" x14ac:dyDescent="0.35">
      <c r="B171" s="42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36"/>
    </row>
    <row r="172" spans="2:37" x14ac:dyDescent="0.35">
      <c r="B172" s="42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36"/>
    </row>
    <row r="173" spans="2:37" x14ac:dyDescent="0.35">
      <c r="B173" s="42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36"/>
    </row>
    <row r="174" spans="2:37" x14ac:dyDescent="0.35">
      <c r="B174" s="42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36"/>
    </row>
    <row r="175" spans="2:37" x14ac:dyDescent="0.35">
      <c r="B175" s="42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36"/>
    </row>
    <row r="176" spans="2:37" x14ac:dyDescent="0.35">
      <c r="B176" s="42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36"/>
    </row>
    <row r="177" spans="2:37" x14ac:dyDescent="0.35">
      <c r="B177" s="42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36"/>
    </row>
    <row r="178" spans="2:37" x14ac:dyDescent="0.35">
      <c r="B178" s="42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36"/>
    </row>
    <row r="179" spans="2:37" x14ac:dyDescent="0.35">
      <c r="B179" s="42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36"/>
    </row>
    <row r="180" spans="2:37" x14ac:dyDescent="0.35">
      <c r="B180" s="42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36"/>
    </row>
    <row r="181" spans="2:37" x14ac:dyDescent="0.35">
      <c r="B181" s="42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36"/>
    </row>
    <row r="182" spans="2:37" x14ac:dyDescent="0.35">
      <c r="B182" s="42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36"/>
    </row>
    <row r="183" spans="2:37" x14ac:dyDescent="0.35">
      <c r="B183" s="42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36"/>
    </row>
    <row r="184" spans="2:37" x14ac:dyDescent="0.35">
      <c r="B184" s="42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36"/>
    </row>
    <row r="185" spans="2:37" x14ac:dyDescent="0.35">
      <c r="B185" s="42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36"/>
    </row>
    <row r="186" spans="2:37" x14ac:dyDescent="0.35">
      <c r="B186" s="42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36"/>
    </row>
    <row r="187" spans="2:37" x14ac:dyDescent="0.35">
      <c r="B187" s="42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36"/>
    </row>
    <row r="188" spans="2:37" x14ac:dyDescent="0.35">
      <c r="B188" s="42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36"/>
    </row>
    <row r="189" spans="2:37" x14ac:dyDescent="0.35">
      <c r="B189" s="42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36"/>
    </row>
    <row r="190" spans="2:37" x14ac:dyDescent="0.35">
      <c r="B190" s="42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36"/>
    </row>
    <row r="191" spans="2:37" x14ac:dyDescent="0.35">
      <c r="B191" s="42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36"/>
    </row>
    <row r="192" spans="2:37" x14ac:dyDescent="0.35">
      <c r="B192" s="42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36"/>
    </row>
    <row r="193" spans="2:37" x14ac:dyDescent="0.35">
      <c r="B193" s="42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36"/>
    </row>
    <row r="194" spans="2:37" x14ac:dyDescent="0.35">
      <c r="B194" s="42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36"/>
    </row>
    <row r="195" spans="2:37" x14ac:dyDescent="0.35">
      <c r="B195" s="42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36"/>
    </row>
    <row r="196" spans="2:37" x14ac:dyDescent="0.35">
      <c r="B196" s="42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36"/>
    </row>
    <row r="197" spans="2:37" x14ac:dyDescent="0.35">
      <c r="B197" s="42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36"/>
    </row>
    <row r="198" spans="2:37" x14ac:dyDescent="0.35">
      <c r="B198" s="42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36"/>
    </row>
    <row r="199" spans="2:37" x14ac:dyDescent="0.35">
      <c r="B199" s="42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36"/>
    </row>
    <row r="200" spans="2:37" x14ac:dyDescent="0.35">
      <c r="B200" s="42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36"/>
    </row>
    <row r="201" spans="2:37" x14ac:dyDescent="0.35">
      <c r="B201" s="42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36"/>
    </row>
    <row r="202" spans="2:37" x14ac:dyDescent="0.35">
      <c r="B202" s="42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36"/>
    </row>
    <row r="203" spans="2:37" x14ac:dyDescent="0.35">
      <c r="B203" s="42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36"/>
    </row>
    <row r="204" spans="2:37" x14ac:dyDescent="0.35">
      <c r="B204" s="42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36"/>
    </row>
    <row r="205" spans="2:37" x14ac:dyDescent="0.35">
      <c r="B205" s="42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36"/>
    </row>
    <row r="206" spans="2:37" ht="30" customHeight="1" x14ac:dyDescent="0.35">
      <c r="B206" s="43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40"/>
    </row>
    <row r="207" spans="2:37" x14ac:dyDescent="0.35"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</row>
    <row r="208" spans="2:37" x14ac:dyDescent="0.35"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</row>
    <row r="209" spans="2:37" x14ac:dyDescent="0.35"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</row>
    <row r="210" spans="2:37" x14ac:dyDescent="0.35">
      <c r="B210" s="41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4"/>
    </row>
    <row r="211" spans="2:37" ht="37" x14ac:dyDescent="0.85">
      <c r="B211" s="42"/>
      <c r="C211" s="35" t="s">
        <v>62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36"/>
    </row>
    <row r="212" spans="2:37" x14ac:dyDescent="0.35">
      <c r="B212" s="42"/>
      <c r="C212" s="16" t="s">
        <v>48</v>
      </c>
      <c r="D212" s="16" t="s">
        <v>2</v>
      </c>
      <c r="E212" s="16" t="s">
        <v>3</v>
      </c>
      <c r="F212" s="16" t="s">
        <v>4</v>
      </c>
      <c r="G212" s="16" t="s">
        <v>5</v>
      </c>
      <c r="H212" s="16" t="s">
        <v>6</v>
      </c>
      <c r="I212" s="16" t="s">
        <v>7</v>
      </c>
      <c r="J212" s="8"/>
      <c r="K212" s="37" t="s">
        <v>48</v>
      </c>
      <c r="L212" s="37"/>
      <c r="M212" s="16" t="s">
        <v>2</v>
      </c>
      <c r="N212" s="16" t="s">
        <v>3</v>
      </c>
      <c r="O212" s="16" t="s">
        <v>4</v>
      </c>
      <c r="P212" s="16" t="s">
        <v>5</v>
      </c>
      <c r="Q212" s="16" t="s">
        <v>6</v>
      </c>
      <c r="R212" s="16" t="s">
        <v>7</v>
      </c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36"/>
    </row>
    <row r="213" spans="2:37" x14ac:dyDescent="0.35">
      <c r="B213" s="42"/>
      <c r="C213" s="8" t="s">
        <v>49</v>
      </c>
      <c r="D213" s="8">
        <v>1</v>
      </c>
      <c r="E213" s="8">
        <f>$D214/E214</f>
        <v>1.8837353378490005</v>
      </c>
      <c r="F213" s="8">
        <f>$D214/F214</f>
        <v>3.607507830543867</v>
      </c>
      <c r="G213" s="8">
        <f>$D214/G214</f>
        <v>6.4914602903501279</v>
      </c>
      <c r="H213" s="8">
        <f>$D214/H214</f>
        <v>5.1507656864073725</v>
      </c>
      <c r="I213" s="8">
        <f>$D214/I214</f>
        <v>5.0261174292515207</v>
      </c>
      <c r="J213" s="8"/>
      <c r="K213" s="38" t="s">
        <v>50</v>
      </c>
      <c r="L213" s="38"/>
      <c r="M213" s="8">
        <f t="shared" ref="M213:R213" si="3">(D213+D216+D219+D222)/4</f>
        <v>1</v>
      </c>
      <c r="N213" s="8">
        <f t="shared" si="3"/>
        <v>1.6756323868908567</v>
      </c>
      <c r="O213" s="8">
        <f t="shared" si="3"/>
        <v>3.3762646713008495</v>
      </c>
      <c r="P213" s="8">
        <f t="shared" si="3"/>
        <v>5.3236287379297851</v>
      </c>
      <c r="Q213" s="8">
        <f t="shared" si="3"/>
        <v>4.1160521809390804</v>
      </c>
      <c r="R213" s="8">
        <f t="shared" si="3"/>
        <v>3.9727378785150576</v>
      </c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36"/>
    </row>
    <row r="214" spans="2:37" x14ac:dyDescent="0.35">
      <c r="B214" s="42"/>
      <c r="C214" s="8" t="s">
        <v>51</v>
      </c>
      <c r="D214" s="8">
        <f>'Información completa'!E143</f>
        <v>228045</v>
      </c>
      <c r="E214" s="8">
        <f>'Información completa'!F143</f>
        <v>121060</v>
      </c>
      <c r="F214" s="8">
        <f>'Información completa'!G143</f>
        <v>63214</v>
      </c>
      <c r="G214" s="8">
        <f>'Información completa'!H143</f>
        <v>35130</v>
      </c>
      <c r="H214" s="8">
        <f>'Información completa'!I143</f>
        <v>44274</v>
      </c>
      <c r="I214" s="8">
        <f>'Información completa'!J143</f>
        <v>45372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36"/>
    </row>
    <row r="215" spans="2:37" x14ac:dyDescent="0.35">
      <c r="B215" s="42"/>
      <c r="C215" s="16" t="s">
        <v>48</v>
      </c>
      <c r="D215" s="16" t="s">
        <v>2</v>
      </c>
      <c r="E215" s="16" t="s">
        <v>3</v>
      </c>
      <c r="F215" s="16" t="s">
        <v>4</v>
      </c>
      <c r="G215" s="16" t="s">
        <v>5</v>
      </c>
      <c r="H215" s="16" t="s">
        <v>6</v>
      </c>
      <c r="I215" s="16" t="s">
        <v>7</v>
      </c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36"/>
    </row>
    <row r="216" spans="2:37" x14ac:dyDescent="0.35">
      <c r="B216" s="42"/>
      <c r="C216" s="8" t="s">
        <v>52</v>
      </c>
      <c r="D216" s="8">
        <v>1</v>
      </c>
      <c r="E216" s="8">
        <f>$D217/E217</f>
        <v>1.870605967263548</v>
      </c>
      <c r="F216" s="8">
        <f>$D217/F217</f>
        <v>3.650705130628757</v>
      </c>
      <c r="G216" s="8">
        <f>$D217/G217</f>
        <v>5.7777518482283634</v>
      </c>
      <c r="H216" s="8">
        <f>$D217/H217</f>
        <v>4.5152186823412785</v>
      </c>
      <c r="I216" s="8">
        <f>$D217/I217</f>
        <v>4.3347242579802341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36"/>
    </row>
    <row r="217" spans="2:37" x14ac:dyDescent="0.35">
      <c r="B217" s="42"/>
      <c r="C217" s="8" t="s">
        <v>53</v>
      </c>
      <c r="D217" s="8">
        <f>'Información completa'!M143</f>
        <v>1931150</v>
      </c>
      <c r="E217" s="8">
        <f>'Información completa'!N143</f>
        <v>1032366</v>
      </c>
      <c r="F217" s="8">
        <f>'Información completa'!O143</f>
        <v>528980</v>
      </c>
      <c r="G217" s="8">
        <f>'Información completa'!P143</f>
        <v>334239</v>
      </c>
      <c r="H217" s="8">
        <f>'Información completa'!Q143</f>
        <v>427698</v>
      </c>
      <c r="I217" s="8">
        <f>'Información completa'!R143</f>
        <v>445507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36"/>
    </row>
    <row r="218" spans="2:37" x14ac:dyDescent="0.35">
      <c r="B218" s="42"/>
      <c r="C218" s="16" t="s">
        <v>48</v>
      </c>
      <c r="D218" s="16" t="s">
        <v>2</v>
      </c>
      <c r="E218" s="16" t="s">
        <v>3</v>
      </c>
      <c r="F218" s="16" t="s">
        <v>4</v>
      </c>
      <c r="G218" s="16" t="s">
        <v>5</v>
      </c>
      <c r="H218" s="16" t="s">
        <v>6</v>
      </c>
      <c r="I218" s="16" t="s">
        <v>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36"/>
    </row>
    <row r="219" spans="2:37" x14ac:dyDescent="0.35">
      <c r="B219" s="42"/>
      <c r="C219" s="8" t="s">
        <v>56</v>
      </c>
      <c r="D219" s="8">
        <v>1</v>
      </c>
      <c r="E219" s="8">
        <f>$D220/E220</f>
        <v>1.0846547058836296</v>
      </c>
      <c r="F219" s="8">
        <f>$D220/F220</f>
        <v>2.9922603071561071</v>
      </c>
      <c r="G219" s="8">
        <f>$D220/G220</f>
        <v>5.0765703999043659</v>
      </c>
      <c r="H219" s="8">
        <f>$D220/H220</f>
        <v>3.572022863476108</v>
      </c>
      <c r="I219" s="8">
        <f>$D220/I220</f>
        <v>3.3846403087190846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36"/>
    </row>
    <row r="220" spans="2:37" x14ac:dyDescent="0.35">
      <c r="B220" s="42"/>
      <c r="C220" s="8" t="s">
        <v>57</v>
      </c>
      <c r="D220" s="8">
        <f>'Información completa'!U143</f>
        <v>6497406</v>
      </c>
      <c r="E220" s="8">
        <f>'Información completa'!V143</f>
        <v>5990299</v>
      </c>
      <c r="F220" s="8">
        <f>'Información completa'!W143</f>
        <v>2171404</v>
      </c>
      <c r="G220" s="8">
        <f>'Información completa'!X143</f>
        <v>1279881</v>
      </c>
      <c r="H220" s="8">
        <f>'Información completa'!Y143</f>
        <v>1818971</v>
      </c>
      <c r="I220" s="8">
        <f>'Información completa'!Z143</f>
        <v>1919674</v>
      </c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36"/>
    </row>
    <row r="221" spans="2:37" x14ac:dyDescent="0.35">
      <c r="B221" s="42"/>
      <c r="C221" s="16" t="s">
        <v>48</v>
      </c>
      <c r="D221" s="16" t="s">
        <v>2</v>
      </c>
      <c r="E221" s="16" t="s">
        <v>3</v>
      </c>
      <c r="F221" s="16" t="s">
        <v>4</v>
      </c>
      <c r="G221" s="16" t="s">
        <v>5</v>
      </c>
      <c r="H221" s="16" t="s">
        <v>6</v>
      </c>
      <c r="I221" s="16" t="s">
        <v>7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36"/>
    </row>
    <row r="222" spans="2:37" x14ac:dyDescent="0.35">
      <c r="B222" s="42"/>
      <c r="C222" s="8" t="s">
        <v>59</v>
      </c>
      <c r="D222" s="8">
        <v>1</v>
      </c>
      <c r="E222" s="8">
        <f>$D223/E223</f>
        <v>1.8635335365672485</v>
      </c>
      <c r="F222" s="8">
        <f>$D223/F223</f>
        <v>3.2545854168746664</v>
      </c>
      <c r="G222" s="8">
        <f>$D223/G223</f>
        <v>3.9487324132362818</v>
      </c>
      <c r="H222" s="8">
        <f>$D223/H223</f>
        <v>3.2262014915315618</v>
      </c>
      <c r="I222" s="8">
        <f>$D223/I223</f>
        <v>3.1454695181093895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36"/>
    </row>
    <row r="223" spans="2:37" x14ac:dyDescent="0.35">
      <c r="B223" s="42"/>
      <c r="C223" s="8" t="s">
        <v>60</v>
      </c>
      <c r="D223" s="8">
        <f>'Información completa'!AC143</f>
        <v>15679678</v>
      </c>
      <c r="E223" s="8">
        <f>'Información completa'!AD143</f>
        <v>8413950</v>
      </c>
      <c r="F223" s="8">
        <f>'Información completa'!AE143</f>
        <v>4817719</v>
      </c>
      <c r="G223" s="8">
        <f>'Información completa'!AF143</f>
        <v>3970813</v>
      </c>
      <c r="H223" s="8">
        <f>'Información completa'!AG143</f>
        <v>4860105</v>
      </c>
      <c r="I223" s="8">
        <f>'Información completa'!AH143</f>
        <v>4984845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36"/>
    </row>
    <row r="224" spans="2:37" x14ac:dyDescent="0.35">
      <c r="B224" s="42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36"/>
    </row>
    <row r="225" spans="2:37" x14ac:dyDescent="0.35">
      <c r="B225" s="42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36"/>
    </row>
    <row r="226" spans="2:37" x14ac:dyDescent="0.35">
      <c r="B226" s="42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36"/>
    </row>
    <row r="227" spans="2:37" x14ac:dyDescent="0.35">
      <c r="B227" s="42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36"/>
    </row>
    <row r="228" spans="2:37" x14ac:dyDescent="0.35">
      <c r="B228" s="42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36"/>
    </row>
    <row r="229" spans="2:37" x14ac:dyDescent="0.35">
      <c r="B229" s="42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36"/>
    </row>
    <row r="230" spans="2:37" x14ac:dyDescent="0.35">
      <c r="B230" s="42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36"/>
    </row>
    <row r="231" spans="2:37" x14ac:dyDescent="0.35">
      <c r="B231" s="42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36"/>
    </row>
    <row r="232" spans="2:37" x14ac:dyDescent="0.35">
      <c r="B232" s="42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36"/>
    </row>
    <row r="233" spans="2:37" x14ac:dyDescent="0.35">
      <c r="B233" s="42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36"/>
    </row>
    <row r="234" spans="2:37" x14ac:dyDescent="0.35">
      <c r="B234" s="42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36"/>
    </row>
    <row r="235" spans="2:37" x14ac:dyDescent="0.35">
      <c r="B235" s="42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36"/>
    </row>
    <row r="236" spans="2:37" x14ac:dyDescent="0.35">
      <c r="B236" s="42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36"/>
    </row>
    <row r="237" spans="2:37" x14ac:dyDescent="0.35">
      <c r="B237" s="42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36"/>
    </row>
    <row r="238" spans="2:37" x14ac:dyDescent="0.35">
      <c r="B238" s="42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36"/>
    </row>
    <row r="239" spans="2:37" x14ac:dyDescent="0.35">
      <c r="B239" s="42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36"/>
    </row>
    <row r="240" spans="2:37" x14ac:dyDescent="0.35">
      <c r="B240" s="42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36"/>
    </row>
    <row r="241" spans="2:37" x14ac:dyDescent="0.35">
      <c r="B241" s="42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36"/>
    </row>
    <row r="242" spans="2:37" x14ac:dyDescent="0.35">
      <c r="B242" s="42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36"/>
    </row>
    <row r="243" spans="2:37" x14ac:dyDescent="0.35">
      <c r="B243" s="42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36"/>
    </row>
    <row r="244" spans="2:37" x14ac:dyDescent="0.35">
      <c r="B244" s="42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36"/>
    </row>
    <row r="245" spans="2:37" x14ac:dyDescent="0.35">
      <c r="B245" s="42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36"/>
    </row>
    <row r="246" spans="2:37" x14ac:dyDescent="0.35">
      <c r="B246" s="42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36"/>
    </row>
    <row r="247" spans="2:37" x14ac:dyDescent="0.35">
      <c r="B247" s="42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36"/>
    </row>
    <row r="248" spans="2:37" x14ac:dyDescent="0.35">
      <c r="B248" s="42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36"/>
    </row>
    <row r="249" spans="2:37" x14ac:dyDescent="0.35">
      <c r="B249" s="42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36"/>
    </row>
    <row r="250" spans="2:37" x14ac:dyDescent="0.35">
      <c r="B250" s="42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36"/>
    </row>
    <row r="251" spans="2:37" x14ac:dyDescent="0.35">
      <c r="B251" s="42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36"/>
    </row>
    <row r="252" spans="2:37" x14ac:dyDescent="0.35">
      <c r="B252" s="42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36"/>
    </row>
    <row r="253" spans="2:37" x14ac:dyDescent="0.35">
      <c r="B253" s="42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36"/>
    </row>
    <row r="254" spans="2:37" x14ac:dyDescent="0.35">
      <c r="B254" s="42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36"/>
    </row>
    <row r="255" spans="2:37" x14ac:dyDescent="0.35">
      <c r="B255" s="42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36"/>
    </row>
    <row r="256" spans="2:37" x14ac:dyDescent="0.35">
      <c r="B256" s="42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36"/>
    </row>
    <row r="257" spans="2:37" x14ac:dyDescent="0.35">
      <c r="B257" s="42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36"/>
    </row>
    <row r="258" spans="2:37" x14ac:dyDescent="0.35">
      <c r="B258" s="42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36"/>
    </row>
    <row r="259" spans="2:37" x14ac:dyDescent="0.35">
      <c r="B259" s="42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36"/>
    </row>
    <row r="260" spans="2:37" x14ac:dyDescent="0.35">
      <c r="B260" s="42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36"/>
    </row>
    <row r="261" spans="2:37" x14ac:dyDescent="0.35">
      <c r="B261" s="42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36"/>
    </row>
    <row r="262" spans="2:37" x14ac:dyDescent="0.35">
      <c r="B262" s="42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36"/>
    </row>
    <row r="263" spans="2:37" x14ac:dyDescent="0.35">
      <c r="B263" s="42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36"/>
    </row>
    <row r="264" spans="2:37" x14ac:dyDescent="0.35">
      <c r="B264" s="42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36"/>
    </row>
    <row r="265" spans="2:37" x14ac:dyDescent="0.35">
      <c r="B265" s="42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36"/>
    </row>
    <row r="266" spans="2:37" x14ac:dyDescent="0.35">
      <c r="B266" s="42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36"/>
    </row>
    <row r="267" spans="2:37" x14ac:dyDescent="0.35">
      <c r="B267" s="42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36"/>
    </row>
    <row r="268" spans="2:37" x14ac:dyDescent="0.35">
      <c r="B268" s="42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36"/>
    </row>
    <row r="269" spans="2:37" x14ac:dyDescent="0.35">
      <c r="B269" s="42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36"/>
    </row>
    <row r="270" spans="2:37" x14ac:dyDescent="0.35">
      <c r="B270" s="42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36"/>
    </row>
    <row r="271" spans="2:37" x14ac:dyDescent="0.35">
      <c r="B271" s="42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36"/>
    </row>
    <row r="272" spans="2:37" x14ac:dyDescent="0.35">
      <c r="B272" s="42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36"/>
    </row>
    <row r="273" spans="2:37" x14ac:dyDescent="0.35">
      <c r="B273" s="42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36"/>
    </row>
    <row r="274" spans="2:37" ht="28.5" customHeight="1" x14ac:dyDescent="0.35">
      <c r="B274" s="43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40"/>
    </row>
  </sheetData>
  <mergeCells count="8">
    <mergeCell ref="K145:L145"/>
    <mergeCell ref="K212:L212"/>
    <mergeCell ref="K213:L213"/>
    <mergeCell ref="K8:L8"/>
    <mergeCell ref="K9:L9"/>
    <mergeCell ref="K76:L76"/>
    <mergeCell ref="K77:L77"/>
    <mergeCell ref="K144:L144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O152"/>
  <sheetViews>
    <sheetView zoomScale="55" zoomScaleNormal="55" workbookViewId="0">
      <selection activeCell="B117" sqref="B117:O152"/>
    </sheetView>
  </sheetViews>
  <sheetFormatPr baseColWidth="10" defaultColWidth="10.6328125" defaultRowHeight="14.5" x14ac:dyDescent="0.35"/>
  <cols>
    <col min="1" max="1" width="10.90625" customWidth="1"/>
    <col min="2" max="2" width="2.81640625" customWidth="1"/>
    <col min="3" max="3" width="19.90625" customWidth="1"/>
    <col min="4" max="4" width="21.81640625" customWidth="1"/>
    <col min="15" max="15" width="2.81640625" customWidth="1"/>
  </cols>
  <sheetData>
    <row r="3" spans="2:15" x14ac:dyDescent="0.35">
      <c r="B3" s="56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6"/>
    </row>
    <row r="4" spans="2:15" ht="37" x14ac:dyDescent="0.85">
      <c r="B4" s="57"/>
      <c r="C4" s="47"/>
      <c r="D4" s="48" t="s">
        <v>63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9"/>
    </row>
    <row r="5" spans="2:15" x14ac:dyDescent="0.35">
      <c r="B5" s="57"/>
      <c r="C5" s="50"/>
      <c r="D5" s="51" t="str">
        <f t="array" ref="D5:J5">'Gráficas SpeedUp'!C8:I8</f>
        <v># Hilos</v>
      </c>
      <c r="E5" s="51" t="str">
        <v>1 hilo</v>
      </c>
      <c r="F5" s="51" t="str">
        <v>2 hilos</v>
      </c>
      <c r="G5" s="51" t="str">
        <v>4 hilos</v>
      </c>
      <c r="H5" s="51" t="str">
        <v>8 hilos</v>
      </c>
      <c r="I5" s="51" t="str">
        <v>12 hilos</v>
      </c>
      <c r="J5" s="51" t="str">
        <v>32 hilos</v>
      </c>
      <c r="K5" s="47"/>
      <c r="L5" s="47"/>
      <c r="M5" s="47"/>
      <c r="N5" s="47"/>
      <c r="O5" s="49"/>
    </row>
    <row r="6" spans="2:15" ht="14.25" customHeight="1" x14ac:dyDescent="0.35">
      <c r="B6" s="57"/>
      <c r="C6" s="52" t="s">
        <v>64</v>
      </c>
      <c r="D6" s="53" t="s">
        <v>47</v>
      </c>
      <c r="E6" s="47">
        <f t="array" ref="E6:J6">'Gráficas SpeedUp'!D10:I10</f>
        <v>239828</v>
      </c>
      <c r="F6" s="47">
        <v>125451</v>
      </c>
      <c r="G6" s="47">
        <v>65066</v>
      </c>
      <c r="H6" s="47">
        <v>75028</v>
      </c>
      <c r="I6" s="47">
        <v>77318</v>
      </c>
      <c r="J6" s="47">
        <v>81262</v>
      </c>
      <c r="K6" s="47"/>
      <c r="L6" s="47"/>
      <c r="M6" s="47"/>
      <c r="N6" s="47"/>
      <c r="O6" s="49"/>
    </row>
    <row r="7" spans="2:15" x14ac:dyDescent="0.35">
      <c r="B7" s="57"/>
      <c r="C7" s="52"/>
      <c r="D7" s="53" t="s">
        <v>65</v>
      </c>
      <c r="E7" s="47">
        <f t="array" ref="E7:J7">'Gráficas SpeedUp'!D78:I78</f>
        <v>226399</v>
      </c>
      <c r="F7" s="47">
        <v>120553</v>
      </c>
      <c r="G7" s="47">
        <v>63773</v>
      </c>
      <c r="H7" s="47">
        <v>36532</v>
      </c>
      <c r="I7" s="47">
        <v>44381</v>
      </c>
      <c r="J7" s="47">
        <v>52247</v>
      </c>
      <c r="K7" s="47"/>
      <c r="L7" s="47"/>
      <c r="M7" s="47"/>
      <c r="N7" s="47"/>
      <c r="O7" s="49"/>
    </row>
    <row r="8" spans="2:15" x14ac:dyDescent="0.35">
      <c r="B8" s="57"/>
      <c r="C8" s="52"/>
      <c r="D8" s="53" t="s">
        <v>61</v>
      </c>
      <c r="E8" s="47">
        <f t="array" ref="E8:J8">'Gráficas SpeedUp'!D146:I146</f>
        <v>249099</v>
      </c>
      <c r="F8" s="47">
        <v>124857</v>
      </c>
      <c r="G8" s="47">
        <v>63999</v>
      </c>
      <c r="H8" s="47">
        <v>37722</v>
      </c>
      <c r="I8" s="47">
        <v>44536</v>
      </c>
      <c r="J8" s="47">
        <v>38511</v>
      </c>
      <c r="K8" s="47"/>
      <c r="L8" s="47"/>
      <c r="M8" s="47"/>
      <c r="N8" s="47"/>
      <c r="O8" s="49"/>
    </row>
    <row r="9" spans="2:15" x14ac:dyDescent="0.35">
      <c r="B9" s="57"/>
      <c r="C9" s="52"/>
      <c r="D9" s="53" t="s">
        <v>62</v>
      </c>
      <c r="E9" s="47">
        <f t="array" ref="E9:J9">'Gráficas SpeedUp'!D214:I214</f>
        <v>228045</v>
      </c>
      <c r="F9" s="47">
        <v>121060</v>
      </c>
      <c r="G9" s="47">
        <v>63214</v>
      </c>
      <c r="H9" s="47">
        <v>35130</v>
      </c>
      <c r="I9" s="47">
        <v>44274</v>
      </c>
      <c r="J9" s="47">
        <v>45372</v>
      </c>
      <c r="K9" s="47"/>
      <c r="L9" s="47"/>
      <c r="M9" s="47"/>
      <c r="N9" s="47"/>
      <c r="O9" s="49"/>
    </row>
    <row r="10" spans="2:15" x14ac:dyDescent="0.35">
      <c r="B10" s="5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9"/>
    </row>
    <row r="11" spans="2:15" x14ac:dyDescent="0.35">
      <c r="B11" s="5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9"/>
    </row>
    <row r="12" spans="2:15" x14ac:dyDescent="0.35">
      <c r="B12" s="5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9"/>
    </row>
    <row r="13" spans="2:15" x14ac:dyDescent="0.35">
      <c r="B13" s="5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9"/>
    </row>
    <row r="14" spans="2:15" x14ac:dyDescent="0.35">
      <c r="B14" s="5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9"/>
    </row>
    <row r="15" spans="2:15" x14ac:dyDescent="0.35">
      <c r="B15" s="5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9"/>
    </row>
    <row r="16" spans="2:15" x14ac:dyDescent="0.35">
      <c r="B16" s="5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9"/>
    </row>
    <row r="17" spans="2:15" x14ac:dyDescent="0.35">
      <c r="B17" s="5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9"/>
    </row>
    <row r="18" spans="2:15" x14ac:dyDescent="0.35">
      <c r="B18" s="5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9"/>
    </row>
    <row r="19" spans="2:15" x14ac:dyDescent="0.35">
      <c r="B19" s="5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9"/>
    </row>
    <row r="20" spans="2:15" x14ac:dyDescent="0.35">
      <c r="B20" s="5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9"/>
    </row>
    <row r="21" spans="2:15" x14ac:dyDescent="0.35">
      <c r="B21" s="5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9"/>
    </row>
    <row r="22" spans="2:15" x14ac:dyDescent="0.35">
      <c r="B22" s="5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9"/>
    </row>
    <row r="23" spans="2:15" x14ac:dyDescent="0.35">
      <c r="B23" s="5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9"/>
    </row>
    <row r="24" spans="2:15" x14ac:dyDescent="0.35">
      <c r="B24" s="5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9"/>
    </row>
    <row r="25" spans="2:15" x14ac:dyDescent="0.35">
      <c r="B25" s="5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9"/>
    </row>
    <row r="26" spans="2:15" x14ac:dyDescent="0.35">
      <c r="B26" s="5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9"/>
    </row>
    <row r="27" spans="2:15" x14ac:dyDescent="0.35">
      <c r="B27" s="5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9"/>
    </row>
    <row r="28" spans="2:15" x14ac:dyDescent="0.35">
      <c r="B28" s="5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9"/>
    </row>
    <row r="29" spans="2:15" x14ac:dyDescent="0.35">
      <c r="B29" s="5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9"/>
    </row>
    <row r="30" spans="2:15" x14ac:dyDescent="0.35">
      <c r="B30" s="5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9"/>
    </row>
    <row r="31" spans="2:15" x14ac:dyDescent="0.35">
      <c r="B31" s="5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9"/>
    </row>
    <row r="32" spans="2:15" x14ac:dyDescent="0.35">
      <c r="B32" s="5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9"/>
    </row>
    <row r="33" spans="2:15" x14ac:dyDescent="0.35">
      <c r="B33" s="5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9"/>
    </row>
    <row r="34" spans="2:15" x14ac:dyDescent="0.35">
      <c r="B34" s="5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9"/>
    </row>
    <row r="35" spans="2:15" x14ac:dyDescent="0.35">
      <c r="B35" s="5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9"/>
    </row>
    <row r="36" spans="2:15" x14ac:dyDescent="0.35">
      <c r="B36" s="5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9"/>
    </row>
    <row r="37" spans="2:15" x14ac:dyDescent="0.35">
      <c r="B37" s="58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5"/>
    </row>
    <row r="41" spans="2:15" x14ac:dyDescent="0.35">
      <c r="B41" s="56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6"/>
    </row>
    <row r="42" spans="2:15" ht="37" x14ac:dyDescent="0.85">
      <c r="B42" s="57"/>
      <c r="C42" s="47"/>
      <c r="D42" s="48" t="s">
        <v>66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9"/>
    </row>
    <row r="43" spans="2:15" x14ac:dyDescent="0.35">
      <c r="B43" s="57"/>
      <c r="C43" s="50"/>
      <c r="D43" s="51" t="str">
        <f t="array" ref="D43:J43">'Gráficas SpeedUp'!C76:I76</f>
        <v># Hilos</v>
      </c>
      <c r="E43" s="51" t="str">
        <v>1 hilo</v>
      </c>
      <c r="F43" s="51" t="str">
        <v>2 hilos</v>
      </c>
      <c r="G43" s="51" t="str">
        <v>4 hilos</v>
      </c>
      <c r="H43" s="51" t="str">
        <v>8 hilos</v>
      </c>
      <c r="I43" s="51" t="str">
        <v>12 hilos</v>
      </c>
      <c r="J43" s="51" t="str">
        <v>32 hilos</v>
      </c>
      <c r="K43" s="47"/>
      <c r="L43" s="47"/>
      <c r="M43" s="47"/>
      <c r="N43" s="47"/>
      <c r="O43" s="49"/>
    </row>
    <row r="44" spans="2:15" ht="14.25" customHeight="1" x14ac:dyDescent="0.35">
      <c r="B44" s="57"/>
      <c r="C44" s="52" t="s">
        <v>64</v>
      </c>
      <c r="D44" s="53" t="s">
        <v>47</v>
      </c>
      <c r="E44" s="47">
        <f t="array" ref="E44:J44">'Gráficas SpeedUp'!D13:I13</f>
        <v>2622380</v>
      </c>
      <c r="F44" s="47">
        <v>1567099</v>
      </c>
      <c r="G44" s="47">
        <v>1153874</v>
      </c>
      <c r="H44" s="47">
        <v>1575495</v>
      </c>
      <c r="I44" s="47">
        <v>1731712</v>
      </c>
      <c r="J44" s="47">
        <v>1841905</v>
      </c>
      <c r="K44" s="47"/>
      <c r="L44" s="47"/>
      <c r="M44" s="47"/>
      <c r="N44" s="47"/>
      <c r="O44" s="49"/>
    </row>
    <row r="45" spans="2:15" x14ac:dyDescent="0.35">
      <c r="B45" s="57"/>
      <c r="C45" s="52"/>
      <c r="D45" s="53" t="s">
        <v>65</v>
      </c>
      <c r="E45" s="47">
        <f t="array" ref="E45:J45">'Gráficas SpeedUp'!D81:I81</f>
        <v>1903163</v>
      </c>
      <c r="F45" s="47">
        <v>1029555</v>
      </c>
      <c r="G45" s="47">
        <v>657260</v>
      </c>
      <c r="H45" s="47">
        <v>398651</v>
      </c>
      <c r="I45" s="47">
        <v>456533</v>
      </c>
      <c r="J45" s="47">
        <v>501688</v>
      </c>
      <c r="K45" s="47"/>
      <c r="L45" s="47"/>
      <c r="M45" s="47"/>
      <c r="N45" s="47"/>
      <c r="O45" s="49"/>
    </row>
    <row r="46" spans="2:15" x14ac:dyDescent="0.35">
      <c r="B46" s="57"/>
      <c r="C46" s="52"/>
      <c r="D46" s="53" t="s">
        <v>61</v>
      </c>
      <c r="E46" s="47">
        <f t="array" ref="E46:J46">'Gráficas SpeedUp'!D149:I149</f>
        <v>2686926</v>
      </c>
      <c r="F46" s="47">
        <v>1573685</v>
      </c>
      <c r="G46" s="47">
        <v>945726</v>
      </c>
      <c r="H46" s="47">
        <v>1387945</v>
      </c>
      <c r="I46" s="47">
        <v>1424689</v>
      </c>
      <c r="J46" s="47">
        <v>1449731</v>
      </c>
      <c r="K46" s="47"/>
      <c r="L46" s="47"/>
      <c r="M46" s="47"/>
      <c r="N46" s="47"/>
      <c r="O46" s="49"/>
    </row>
    <row r="47" spans="2:15" x14ac:dyDescent="0.35">
      <c r="B47" s="57"/>
      <c r="C47" s="52"/>
      <c r="D47" s="53" t="s">
        <v>62</v>
      </c>
      <c r="E47" s="47">
        <f t="array" ref="E47:J47">'Gráficas SpeedUp'!D217:I217</f>
        <v>1931150</v>
      </c>
      <c r="F47" s="47">
        <v>1032366</v>
      </c>
      <c r="G47" s="47">
        <v>528980</v>
      </c>
      <c r="H47" s="47">
        <v>334239</v>
      </c>
      <c r="I47" s="47">
        <v>427698</v>
      </c>
      <c r="J47" s="47">
        <v>445507</v>
      </c>
      <c r="K47" s="47"/>
      <c r="L47" s="47"/>
      <c r="M47" s="47"/>
      <c r="N47" s="47"/>
      <c r="O47" s="49"/>
    </row>
    <row r="48" spans="2:15" x14ac:dyDescent="0.35">
      <c r="B48" s="5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9"/>
    </row>
    <row r="49" spans="2:15" x14ac:dyDescent="0.35">
      <c r="B49" s="5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9"/>
    </row>
    <row r="50" spans="2:15" x14ac:dyDescent="0.35">
      <c r="B50" s="5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9"/>
    </row>
    <row r="51" spans="2:15" x14ac:dyDescent="0.35">
      <c r="B51" s="5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9"/>
    </row>
    <row r="52" spans="2:15" x14ac:dyDescent="0.35">
      <c r="B52" s="5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9"/>
    </row>
    <row r="53" spans="2:15" x14ac:dyDescent="0.35">
      <c r="B53" s="5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9"/>
    </row>
    <row r="54" spans="2:15" x14ac:dyDescent="0.35">
      <c r="B54" s="5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9"/>
    </row>
    <row r="55" spans="2:15" x14ac:dyDescent="0.35">
      <c r="B55" s="5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9"/>
    </row>
    <row r="56" spans="2:15" x14ac:dyDescent="0.35">
      <c r="B56" s="5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9"/>
    </row>
    <row r="57" spans="2:15" x14ac:dyDescent="0.35">
      <c r="B57" s="5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9"/>
    </row>
    <row r="58" spans="2:15" x14ac:dyDescent="0.35">
      <c r="B58" s="5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9"/>
    </row>
    <row r="59" spans="2:15" x14ac:dyDescent="0.35">
      <c r="B59" s="5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9"/>
    </row>
    <row r="60" spans="2:15" x14ac:dyDescent="0.35">
      <c r="B60" s="5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9"/>
    </row>
    <row r="61" spans="2:15" x14ac:dyDescent="0.35">
      <c r="B61" s="5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9"/>
    </row>
    <row r="62" spans="2:15" x14ac:dyDescent="0.35">
      <c r="B62" s="5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9"/>
    </row>
    <row r="63" spans="2:15" x14ac:dyDescent="0.35">
      <c r="B63" s="5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9"/>
    </row>
    <row r="64" spans="2:15" x14ac:dyDescent="0.35">
      <c r="B64" s="5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9"/>
    </row>
    <row r="65" spans="2:15" x14ac:dyDescent="0.35">
      <c r="B65" s="5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9"/>
    </row>
    <row r="66" spans="2:15" x14ac:dyDescent="0.35">
      <c r="B66" s="5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9"/>
    </row>
    <row r="67" spans="2:15" x14ac:dyDescent="0.35">
      <c r="B67" s="5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9"/>
    </row>
    <row r="68" spans="2:15" x14ac:dyDescent="0.35">
      <c r="B68" s="5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9"/>
    </row>
    <row r="69" spans="2:15" x14ac:dyDescent="0.35">
      <c r="B69" s="5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9"/>
    </row>
    <row r="70" spans="2:15" x14ac:dyDescent="0.35">
      <c r="B70" s="5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9"/>
    </row>
    <row r="71" spans="2:15" x14ac:dyDescent="0.35">
      <c r="B71" s="5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9"/>
    </row>
    <row r="72" spans="2:15" x14ac:dyDescent="0.35">
      <c r="B72" s="5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9"/>
    </row>
    <row r="73" spans="2:15" x14ac:dyDescent="0.35">
      <c r="B73" s="5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9"/>
    </row>
    <row r="74" spans="2:15" x14ac:dyDescent="0.35">
      <c r="B74" s="5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9"/>
    </row>
    <row r="75" spans="2:15" x14ac:dyDescent="0.35">
      <c r="B75" s="58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5"/>
    </row>
    <row r="78" spans="2:15" x14ac:dyDescent="0.35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</row>
    <row r="79" spans="2:15" x14ac:dyDescent="0.35"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1"/>
    </row>
    <row r="80" spans="2:15" ht="37" x14ac:dyDescent="0.85">
      <c r="B80" s="62"/>
      <c r="C80" s="47"/>
      <c r="D80" s="48" t="s">
        <v>67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63"/>
    </row>
    <row r="81" spans="2:15" x14ac:dyDescent="0.35">
      <c r="B81" s="62"/>
      <c r="C81" s="50"/>
      <c r="D81" s="51" t="str">
        <f t="array" ref="D81:J81">'Gráficas SpeedUp'!C144:I144</f>
        <v># Hilos</v>
      </c>
      <c r="E81" s="51" t="str">
        <v>1 hilo</v>
      </c>
      <c r="F81" s="51" t="str">
        <v>2 hilos</v>
      </c>
      <c r="G81" s="51" t="str">
        <v>4 hilos</v>
      </c>
      <c r="H81" s="51" t="str">
        <v>8 hilos</v>
      </c>
      <c r="I81" s="51" t="str">
        <v>12 hilos</v>
      </c>
      <c r="J81" s="51" t="str">
        <v>32 hilos</v>
      </c>
      <c r="K81" s="47"/>
      <c r="L81" s="47"/>
      <c r="M81" s="47"/>
      <c r="N81" s="47"/>
      <c r="O81" s="63"/>
    </row>
    <row r="82" spans="2:15" x14ac:dyDescent="0.35">
      <c r="B82" s="62"/>
      <c r="C82" s="52" t="s">
        <v>64</v>
      </c>
      <c r="D82" s="53" t="s">
        <v>47</v>
      </c>
      <c r="E82" s="47">
        <f t="array" ref="E82:J82">'Gráficas SpeedUp'!D16:I16</f>
        <v>9769152</v>
      </c>
      <c r="F82" s="47">
        <v>5421139</v>
      </c>
      <c r="G82" s="47">
        <v>3695311</v>
      </c>
      <c r="H82" s="47">
        <v>9645758</v>
      </c>
      <c r="I82" s="47">
        <v>9886064</v>
      </c>
      <c r="J82" s="47">
        <v>10189095</v>
      </c>
      <c r="K82" s="47"/>
      <c r="L82" s="47"/>
      <c r="M82" s="47"/>
      <c r="N82" s="47"/>
      <c r="O82" s="63"/>
    </row>
    <row r="83" spans="2:15" x14ac:dyDescent="0.35">
      <c r="B83" s="62"/>
      <c r="C83" s="52"/>
      <c r="D83" s="53" t="s">
        <v>65</v>
      </c>
      <c r="E83" s="47">
        <f t="array" ref="E83:J83">'Gráficas SpeedUp'!D84:I84</f>
        <v>6531203</v>
      </c>
      <c r="F83" s="47">
        <v>3490420</v>
      </c>
      <c r="G83" s="47">
        <v>2247237</v>
      </c>
      <c r="H83" s="47">
        <v>1378397</v>
      </c>
      <c r="I83" s="47">
        <v>1894834</v>
      </c>
      <c r="J83" s="47">
        <v>2121635</v>
      </c>
      <c r="K83" s="47"/>
      <c r="L83" s="47"/>
      <c r="M83" s="47"/>
      <c r="N83" s="47"/>
      <c r="O83" s="63"/>
    </row>
    <row r="84" spans="2:15" x14ac:dyDescent="0.35">
      <c r="B84" s="62"/>
      <c r="C84" s="52"/>
      <c r="D84" s="53" t="s">
        <v>61</v>
      </c>
      <c r="E84" s="47">
        <f t="array" ref="E84:J84">'Gráficas SpeedUp'!D152:I152</f>
        <v>11268335</v>
      </c>
      <c r="F84" s="47">
        <v>5990299</v>
      </c>
      <c r="G84" s="47">
        <v>4472377</v>
      </c>
      <c r="H84" s="47">
        <v>8613421</v>
      </c>
      <c r="I84" s="47">
        <v>8682753</v>
      </c>
      <c r="J84" s="47">
        <v>8830907</v>
      </c>
      <c r="K84" s="47"/>
      <c r="L84" s="47"/>
      <c r="M84" s="47"/>
      <c r="N84" s="47"/>
      <c r="O84" s="63"/>
    </row>
    <row r="85" spans="2:15" x14ac:dyDescent="0.35">
      <c r="B85" s="62"/>
      <c r="C85" s="52"/>
      <c r="D85" s="53" t="s">
        <v>62</v>
      </c>
      <c r="E85" s="47">
        <f t="array" ref="E85:J85">'Gráficas SpeedUp'!D220:I220</f>
        <v>6497406</v>
      </c>
      <c r="F85" s="47">
        <v>5990299</v>
      </c>
      <c r="G85" s="47">
        <v>2171404</v>
      </c>
      <c r="H85" s="47">
        <v>1279881</v>
      </c>
      <c r="I85" s="47">
        <v>1818971</v>
      </c>
      <c r="J85" s="47">
        <v>1919674</v>
      </c>
      <c r="K85" s="47"/>
      <c r="L85" s="47"/>
      <c r="M85" s="47"/>
      <c r="N85" s="47"/>
      <c r="O85" s="63"/>
    </row>
    <row r="86" spans="2:15" x14ac:dyDescent="0.35">
      <c r="B86" s="62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63"/>
    </row>
    <row r="87" spans="2:15" x14ac:dyDescent="0.35">
      <c r="B87" s="62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63"/>
    </row>
    <row r="88" spans="2:15" x14ac:dyDescent="0.35">
      <c r="B88" s="62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63"/>
    </row>
    <row r="89" spans="2:15" x14ac:dyDescent="0.35">
      <c r="B89" s="62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63"/>
    </row>
    <row r="90" spans="2:15" x14ac:dyDescent="0.35">
      <c r="B90" s="62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63"/>
    </row>
    <row r="91" spans="2:15" x14ac:dyDescent="0.35">
      <c r="B91" s="62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63"/>
    </row>
    <row r="92" spans="2:15" x14ac:dyDescent="0.35">
      <c r="B92" s="62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63"/>
    </row>
    <row r="93" spans="2:15" x14ac:dyDescent="0.35">
      <c r="B93" s="62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63"/>
    </row>
    <row r="94" spans="2:15" x14ac:dyDescent="0.35">
      <c r="B94" s="62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63"/>
    </row>
    <row r="95" spans="2:15" x14ac:dyDescent="0.35">
      <c r="B95" s="62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63"/>
    </row>
    <row r="96" spans="2:15" x14ac:dyDescent="0.35">
      <c r="B96" s="62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63"/>
    </row>
    <row r="97" spans="2:15" x14ac:dyDescent="0.35">
      <c r="B97" s="62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63"/>
    </row>
    <row r="98" spans="2:15" x14ac:dyDescent="0.35">
      <c r="B98" s="62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63"/>
    </row>
    <row r="99" spans="2:15" x14ac:dyDescent="0.35">
      <c r="B99" s="62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63"/>
    </row>
    <row r="100" spans="2:15" x14ac:dyDescent="0.35">
      <c r="B100" s="62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63"/>
    </row>
    <row r="101" spans="2:15" x14ac:dyDescent="0.35">
      <c r="B101" s="62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63"/>
    </row>
    <row r="102" spans="2:15" x14ac:dyDescent="0.35">
      <c r="B102" s="62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63"/>
    </row>
    <row r="103" spans="2:15" x14ac:dyDescent="0.35">
      <c r="B103" s="62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63"/>
    </row>
    <row r="104" spans="2:15" x14ac:dyDescent="0.35">
      <c r="B104" s="62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63"/>
    </row>
    <row r="105" spans="2:15" x14ac:dyDescent="0.35">
      <c r="B105" s="62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63"/>
    </row>
    <row r="106" spans="2:15" x14ac:dyDescent="0.35">
      <c r="B106" s="62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63"/>
    </row>
    <row r="107" spans="2:15" x14ac:dyDescent="0.35">
      <c r="B107" s="62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63"/>
    </row>
    <row r="108" spans="2:15" x14ac:dyDescent="0.35">
      <c r="B108" s="62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63"/>
    </row>
    <row r="109" spans="2:15" x14ac:dyDescent="0.35">
      <c r="B109" s="62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63"/>
    </row>
    <row r="110" spans="2:15" x14ac:dyDescent="0.35">
      <c r="B110" s="62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63"/>
    </row>
    <row r="111" spans="2:15" x14ac:dyDescent="0.35">
      <c r="B111" s="62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63"/>
    </row>
    <row r="112" spans="2:15" x14ac:dyDescent="0.35">
      <c r="B112" s="62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63"/>
    </row>
    <row r="113" spans="2:15" x14ac:dyDescent="0.35">
      <c r="B113" s="62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63"/>
    </row>
    <row r="114" spans="2:15" x14ac:dyDescent="0.35">
      <c r="B114" s="64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</row>
    <row r="117" spans="2:15" x14ac:dyDescent="0.35">
      <c r="B117" s="59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1"/>
    </row>
    <row r="118" spans="2:15" ht="37" x14ac:dyDescent="0.85">
      <c r="B118" s="62"/>
      <c r="C118" s="47"/>
      <c r="D118" s="48" t="s">
        <v>68</v>
      </c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63"/>
    </row>
    <row r="119" spans="2:15" x14ac:dyDescent="0.35">
      <c r="B119" s="62"/>
      <c r="C119" s="50"/>
      <c r="D119" s="51" t="str">
        <f t="array" ref="D119:J119">'Gráficas SpeedUp'!C212:I212</f>
        <v># Hilos</v>
      </c>
      <c r="E119" s="51" t="str">
        <v>1 hilo</v>
      </c>
      <c r="F119" s="51" t="str">
        <v>2 hilos</v>
      </c>
      <c r="G119" s="51" t="str">
        <v>4 hilos</v>
      </c>
      <c r="H119" s="51" t="str">
        <v>8 hilos</v>
      </c>
      <c r="I119" s="51" t="str">
        <v>12 hilos</v>
      </c>
      <c r="J119" s="51" t="str">
        <v>32 hilos</v>
      </c>
      <c r="K119" s="47"/>
      <c r="L119" s="47"/>
      <c r="M119" s="47"/>
      <c r="N119" s="47"/>
      <c r="O119" s="63"/>
    </row>
    <row r="120" spans="2:15" x14ac:dyDescent="0.35">
      <c r="B120" s="62"/>
      <c r="C120" s="52" t="s">
        <v>64</v>
      </c>
      <c r="D120" s="53" t="s">
        <v>47</v>
      </c>
      <c r="E120" s="47">
        <f t="array" ref="E120:J120">'Gráficas SpeedUp'!D19:I19</f>
        <v>41982408</v>
      </c>
      <c r="F120" s="47">
        <v>24126502</v>
      </c>
      <c r="G120" s="47">
        <v>18945960</v>
      </c>
      <c r="H120" s="47">
        <v>32021994</v>
      </c>
      <c r="I120" s="47">
        <v>32945475</v>
      </c>
      <c r="J120" s="47">
        <v>33727054</v>
      </c>
      <c r="K120" s="47"/>
      <c r="L120" s="47"/>
      <c r="M120" s="47"/>
      <c r="N120" s="47"/>
      <c r="O120" s="63"/>
    </row>
    <row r="121" spans="2:15" x14ac:dyDescent="0.35">
      <c r="B121" s="62"/>
      <c r="C121" s="52"/>
      <c r="D121" s="53" t="s">
        <v>65</v>
      </c>
      <c r="E121" s="47">
        <f t="array" ref="E121:J121">'Gráficas SpeedUp'!D87:I87</f>
        <v>15469517</v>
      </c>
      <c r="F121" s="47">
        <v>8393980</v>
      </c>
      <c r="G121" s="47">
        <v>5343621</v>
      </c>
      <c r="H121" s="47">
        <v>3804309</v>
      </c>
      <c r="I121" s="47">
        <v>5008467</v>
      </c>
      <c r="J121" s="47">
        <v>5217097</v>
      </c>
      <c r="K121" s="47"/>
      <c r="L121" s="47"/>
      <c r="M121" s="47"/>
      <c r="N121" s="47"/>
      <c r="O121" s="63"/>
    </row>
    <row r="122" spans="2:15" x14ac:dyDescent="0.35">
      <c r="B122" s="62"/>
      <c r="C122" s="52"/>
      <c r="D122" s="53" t="s">
        <v>61</v>
      </c>
      <c r="E122" s="47">
        <f t="array" ref="E122:J122">'Gráficas SpeedUp'!D155:I155</f>
        <v>41932140</v>
      </c>
      <c r="F122" s="47">
        <v>24293697</v>
      </c>
      <c r="G122" s="47">
        <v>19438368</v>
      </c>
      <c r="H122" s="47">
        <v>27204634</v>
      </c>
      <c r="I122" s="47">
        <v>27367517</v>
      </c>
      <c r="J122" s="47">
        <v>27986902</v>
      </c>
      <c r="K122" s="47"/>
      <c r="L122" s="47"/>
      <c r="M122" s="47"/>
      <c r="N122" s="47"/>
      <c r="O122" s="63"/>
    </row>
    <row r="123" spans="2:15" x14ac:dyDescent="0.35">
      <c r="B123" s="62"/>
      <c r="C123" s="52"/>
      <c r="D123" s="53" t="s">
        <v>62</v>
      </c>
      <c r="E123" s="47">
        <f t="array" ref="E123:J123">'Gráficas SpeedUp'!D223:I223</f>
        <v>15679678</v>
      </c>
      <c r="F123" s="47">
        <v>8413950</v>
      </c>
      <c r="G123" s="47">
        <v>4817719</v>
      </c>
      <c r="H123" s="47">
        <v>3970813</v>
      </c>
      <c r="I123" s="47">
        <v>4860105</v>
      </c>
      <c r="J123" s="47">
        <v>4984845</v>
      </c>
      <c r="K123" s="47"/>
      <c r="L123" s="47"/>
      <c r="M123" s="47"/>
      <c r="N123" s="47"/>
      <c r="O123" s="63"/>
    </row>
    <row r="124" spans="2:15" x14ac:dyDescent="0.35">
      <c r="B124" s="62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63"/>
    </row>
    <row r="125" spans="2:15" x14ac:dyDescent="0.35">
      <c r="B125" s="62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63"/>
    </row>
    <row r="126" spans="2:15" x14ac:dyDescent="0.35">
      <c r="B126" s="62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63"/>
    </row>
    <row r="127" spans="2:15" x14ac:dyDescent="0.35">
      <c r="B127" s="62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63"/>
    </row>
    <row r="128" spans="2:15" x14ac:dyDescent="0.35">
      <c r="B128" s="62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63"/>
    </row>
    <row r="129" spans="2:15" x14ac:dyDescent="0.35">
      <c r="B129" s="62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63"/>
    </row>
    <row r="130" spans="2:15" x14ac:dyDescent="0.35">
      <c r="B130" s="62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63"/>
    </row>
    <row r="131" spans="2:15" x14ac:dyDescent="0.35">
      <c r="B131" s="62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63"/>
    </row>
    <row r="132" spans="2:15" x14ac:dyDescent="0.35">
      <c r="B132" s="62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63"/>
    </row>
    <row r="133" spans="2:15" x14ac:dyDescent="0.35">
      <c r="B133" s="62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63"/>
    </row>
    <row r="134" spans="2:15" x14ac:dyDescent="0.35">
      <c r="B134" s="62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63"/>
    </row>
    <row r="135" spans="2:15" x14ac:dyDescent="0.35">
      <c r="B135" s="62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63"/>
    </row>
    <row r="136" spans="2:15" x14ac:dyDescent="0.35">
      <c r="B136" s="62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63"/>
    </row>
    <row r="137" spans="2:15" x14ac:dyDescent="0.35">
      <c r="B137" s="62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63"/>
    </row>
    <row r="138" spans="2:15" x14ac:dyDescent="0.35">
      <c r="B138" s="62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63"/>
    </row>
    <row r="139" spans="2:15" x14ac:dyDescent="0.35">
      <c r="B139" s="62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63"/>
    </row>
    <row r="140" spans="2:15" x14ac:dyDescent="0.35">
      <c r="B140" s="62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63"/>
    </row>
    <row r="141" spans="2:15" x14ac:dyDescent="0.35">
      <c r="B141" s="62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63"/>
    </row>
    <row r="142" spans="2:15" x14ac:dyDescent="0.35">
      <c r="B142" s="62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63"/>
    </row>
    <row r="143" spans="2:15" x14ac:dyDescent="0.35">
      <c r="B143" s="62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63"/>
    </row>
    <row r="144" spans="2:15" x14ac:dyDescent="0.35">
      <c r="B144" s="62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63"/>
    </row>
    <row r="145" spans="2:15" x14ac:dyDescent="0.35">
      <c r="B145" s="62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63"/>
    </row>
    <row r="146" spans="2:15" x14ac:dyDescent="0.35">
      <c r="B146" s="62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63"/>
    </row>
    <row r="147" spans="2:15" x14ac:dyDescent="0.35">
      <c r="B147" s="62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63"/>
    </row>
    <row r="148" spans="2:15" x14ac:dyDescent="0.35">
      <c r="B148" s="62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63"/>
    </row>
    <row r="149" spans="2:15" x14ac:dyDescent="0.35">
      <c r="B149" s="62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63"/>
    </row>
    <row r="150" spans="2:15" x14ac:dyDescent="0.35">
      <c r="B150" s="62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63"/>
    </row>
    <row r="151" spans="2:15" x14ac:dyDescent="0.35">
      <c r="B151" s="62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63"/>
    </row>
    <row r="152" spans="2:15" x14ac:dyDescent="0.35">
      <c r="B152" s="64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6"/>
    </row>
  </sheetData>
  <mergeCells count="4">
    <mergeCell ref="C6:C9"/>
    <mergeCell ref="C44:C47"/>
    <mergeCell ref="C82:C85"/>
    <mergeCell ref="C120:C12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completa</vt:lpstr>
      <vt:lpstr>Gráficas SpeedUp</vt:lpstr>
      <vt:lpstr>Gráficas 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Felipe Ramirez Vargas</dc:creator>
  <dc:description/>
  <cp:lastModifiedBy>Maleja Rodriguez</cp:lastModifiedBy>
  <cp:revision>1</cp:revision>
  <dcterms:created xsi:type="dcterms:W3CDTF">2025-11-03T08:10:09Z</dcterms:created>
  <dcterms:modified xsi:type="dcterms:W3CDTF">2026-04-28T19:46:32Z</dcterms:modified>
  <dc:language>es-CO</dc:language>
</cp:coreProperties>
</file>